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Open_University\HK9_2025_2026\DO_AN\Training_system_project\"/>
    </mc:Choice>
  </mc:AlternateContent>
  <xr:revisionPtr revIDLastSave="0" documentId="13_ncr:1_{14BCC6CB-8D1E-4076-89D8-CF4366EA3027}" xr6:coauthVersionLast="47" xr6:coauthVersionMax="47" xr10:uidLastSave="{00000000-0000-0000-0000-000000000000}"/>
  <bookViews>
    <workbookView xWindow="-108" yWindow="252" windowWidth="23256" windowHeight="12816" tabRatio="821" activeTab="5" xr2:uid="{00000000-000D-0000-FFFF-FFFF00000000}"/>
  </bookViews>
  <sheets>
    <sheet name="Cover" sheetId="1" r:id="rId1"/>
    <sheet name="Xác thực &amp; phân quyền" sheetId="2" r:id="rId2"/>
    <sheet name="Người dùng &amp; Cơ cấu bán lẻ" sheetId="3" r:id="rId3"/>
    <sheet name="Quản lý khoá học" sheetId="4" r:id="rId4"/>
    <sheet name="Ghi danh &amp; tiến độ học" sheetId="5" r:id="rId5"/>
    <sheet name="Bài kiểm tra &amp; làm bài" sheetId="6" r:id="rId6"/>
    <sheet name="Chứng chỉ" sheetId="7" r:id="rId7"/>
    <sheet name="Diễn đàn khoá học" sheetId="8" r:id="rId8"/>
    <sheet name="Trợ lý ảo &amp; hàng đợi trainer" sheetId="9" r:id="rId9"/>
    <sheet name="Thông báo &amp; điểm thưởng" sheetId="10" r:id="rId10"/>
    <sheet name="Trang quản trị" sheetId="11" r:id="rId11"/>
    <sheet name="Test Report" sheetId="12" r:id="rId12"/>
  </sheets>
  <definedNames>
    <definedName name="ACTION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" i="12" l="1"/>
  <c r="F17" i="12"/>
  <c r="C17" i="12"/>
  <c r="G16" i="12"/>
  <c r="F16" i="12"/>
  <c r="C16" i="12"/>
  <c r="G15" i="12"/>
  <c r="F15" i="12"/>
  <c r="C15" i="12"/>
  <c r="G14" i="12"/>
  <c r="F14" i="12"/>
  <c r="C14" i="12"/>
  <c r="G13" i="12"/>
  <c r="F13" i="12"/>
  <c r="C13" i="12"/>
  <c r="G12" i="12"/>
  <c r="F12" i="12"/>
  <c r="C12" i="12"/>
  <c r="G11" i="12"/>
  <c r="F11" i="12"/>
  <c r="C11" i="12"/>
  <c r="G10" i="12"/>
  <c r="F10" i="12"/>
  <c r="C10" i="12"/>
  <c r="G9" i="12"/>
  <c r="F9" i="12"/>
  <c r="C9" i="12"/>
  <c r="G8" i="12"/>
  <c r="C8" i="12"/>
  <c r="B7" i="11"/>
  <c r="E17" i="12" s="1"/>
  <c r="B6" i="11"/>
  <c r="D17" i="12" s="1"/>
  <c r="B7" i="10"/>
  <c r="E16" i="12" s="1"/>
  <c r="B6" i="10"/>
  <c r="D16" i="12" s="1"/>
  <c r="B7" i="9"/>
  <c r="E15" i="12" s="1"/>
  <c r="B6" i="9"/>
  <c r="D15" i="12" s="1"/>
  <c r="B7" i="8"/>
  <c r="E14" i="12" s="1"/>
  <c r="B6" i="8"/>
  <c r="D14" i="12" s="1"/>
  <c r="B7" i="7"/>
  <c r="E13" i="12" s="1"/>
  <c r="B6" i="7"/>
  <c r="D13" i="12" s="1"/>
  <c r="B7" i="6"/>
  <c r="E12" i="12" s="1"/>
  <c r="B6" i="6"/>
  <c r="D12" i="12" s="1"/>
  <c r="B7" i="5"/>
  <c r="E11" i="12" s="1"/>
  <c r="B6" i="5"/>
  <c r="D11" i="12" s="1"/>
  <c r="B7" i="4"/>
  <c r="E10" i="12" s="1"/>
  <c r="B6" i="4"/>
  <c r="D10" i="12" s="1"/>
  <c r="B7" i="3"/>
  <c r="E9" i="12" s="1"/>
  <c r="B6" i="3"/>
  <c r="D9" i="12" s="1"/>
  <c r="B7" i="2"/>
  <c r="E8" i="12" s="1"/>
  <c r="D6" i="2"/>
  <c r="F8" i="12" s="1"/>
  <c r="B6" i="2"/>
  <c r="D8" i="12" s="1"/>
  <c r="G18" i="12" l="1"/>
  <c r="E18" i="12"/>
  <c r="F18" i="12"/>
  <c r="D18" i="12"/>
  <c r="E21" i="12" l="1"/>
  <c r="E20" i="12"/>
</calcChain>
</file>

<file path=xl/sharedStrings.xml><?xml version="1.0" encoding="utf-8"?>
<sst xmlns="http://schemas.openxmlformats.org/spreadsheetml/2006/main" count="695" uniqueCount="386">
  <si>
    <t>TEST CASE</t>
  </si>
  <si>
    <t>Version:</t>
  </si>
  <si>
    <t>Issue date:</t>
  </si>
  <si>
    <t>Project Name:</t>
  </si>
  <si>
    <t>Training System</t>
  </si>
  <si>
    <t>Project Code:</t>
  </si>
  <si>
    <t>TLH</t>
  </si>
  <si>
    <t>Record of change:</t>
  </si>
  <si>
    <t>Effective Date</t>
  </si>
  <si>
    <t>Version</t>
  </si>
  <si>
    <t>Change location</t>
  </si>
  <si>
    <t>Change description</t>
  </si>
  <si>
    <t>Originator</t>
  </si>
  <si>
    <t>Reviewer/
Approver</t>
  </si>
  <si>
    <t>Reference</t>
  </si>
  <si>
    <t>1</t>
  </si>
  <si>
    <t>ALL</t>
  </si>
  <si>
    <t>Create Test case</t>
  </si>
  <si>
    <t>Thái Hùng</t>
  </si>
  <si>
    <t>1.2</t>
  </si>
  <si>
    <t>Toàn bộ 10 module</t>
  </si>
  <si>
    <t>Rút gọn còn 6 test case/module để test nhanh hơn.</t>
  </si>
  <si>
    <t>System Name：</t>
  </si>
  <si>
    <t>Module Code：</t>
  </si>
  <si>
    <t>AUTH - Xác thực &amp; phân quyền</t>
  </si>
  <si>
    <t>Test requirement:</t>
  </si>
  <si>
    <t>Đăng nhập, phiên làm việc và chặn truy cập sai vai trò.</t>
  </si>
  <si>
    <t>Pass</t>
  </si>
  <si>
    <t>Pending</t>
  </si>
  <si>
    <t>Fail</t>
  </si>
  <si>
    <t>Number of test cases:</t>
  </si>
  <si>
    <t>ID</t>
  </si>
  <si>
    <t>Test Case Description</t>
  </si>
  <si>
    <t>Test Case Procedure</t>
  </si>
  <si>
    <t>Expected Results</t>
  </si>
  <si>
    <t>Actual Results</t>
  </si>
  <si>
    <t>Test date</t>
  </si>
  <si>
    <t>Status</t>
  </si>
  <si>
    <t>Note</t>
  </si>
  <si>
    <t>Test Xác thực &amp; phân quyền</t>
  </si>
  <si>
    <t>AUTH-01</t>
  </si>
  <si>
    <t xml:space="preserve"> Đăng nhập đúng tài khoản, vào đúng khu vực theo vai trò</t>
  </si>
  <si>
    <t>Bước 1: Tại /login, đăng nhập bằng 1 tài khoản Admin hợp lệ, nhấn "Đăng nhập".
Bước 2: Quan sát được chuyển vào khu vực Admin (sidebar quản trị đủ menu Điều hành/Cơ cấu bán lẻ/Ghi nhận).
Bước 3: Đăng xuất, đăng nhập lại bằng 1 tài khoản Trainer, xác nhận vào đúng khu vực Trainer (menu Khóa học phụ trách, Hỏi &amp; Đáp...).
Bước 4: Đăng xuất, đăng nhập lại bằng 1 tài khoản Employee, xác nhận vào trang chủ nhân viên (Trang chủ, Khoá học của tôi...).</t>
  </si>
  <si>
    <t>Cả 3 tài khoản đăng nhập thành công, mỗi vai trò được điều hướng đúng khu vực giao diện tương ứng, không thấy menu của vai trò khác.</t>
  </si>
  <si>
    <t>AUTH-02</t>
  </si>
  <si>
    <t xml:space="preserve"> Từ chối đăng nhập sai mật khẩu hoặc username không tồn tại</t>
  </si>
  <si>
    <t>Bước 1: Tại /login, nhập đúng username hợp lệ nhưng sai mật khẩu, nhấn "Đăng nhập".
Bước 2: Quan sát thông báo lỗi hiển thị, không vào được hệ thống.
Bước 3: Nhập username không tồn tại trong hệ thống kèm mật khẩu bất kỳ, nhấn "Đăng nhập".</t>
  </si>
  <si>
    <t>Cả 2 trường hợp đều bị từ chối với cùng 1 thông báo lỗi chung, không phân biệt "sai mật khẩu" hay "không tồn tại tài khoản", không cấp token, vẫn ở lại trang đăng nhập.</t>
  </si>
  <si>
    <t>AUTH-03</t>
  </si>
  <si>
    <t xml:space="preserve"> Chặn đăng nhập tài khoản đã bị khoá</t>
  </si>
  <si>
    <t>Bước 1: Đăng nhập Admin, vào trang Người dùng, khoá 1 tài khoản Employee đang hoạt động.
Bước 2: Đăng xuất Admin, thử đăng nhập bằng đúng username/mật khẩu của tài khoản Employee vừa bị khoá.</t>
  </si>
  <si>
    <t>Bị từ chối đăng nhập, hiển thị đúng thông báo "Tài khoản đã bị khoá. Vui lòng liên hệ quản trị viên để được hỗ trợ." (khác thông báo ở AUTH-02).</t>
  </si>
  <si>
    <t>AUTH-04</t>
  </si>
  <si>
    <t xml:space="preserve"> Chặn truy cập route không đúng vai trò</t>
  </si>
  <si>
    <t>Bước 1: Đăng nhập bằng tài khoản Employee.
Bước 2: Gõ trực tiếp trên thanh địa chỉ trình duyệt 1 URL chỉ dành cho Admin, ví dụ /admin/users.</t>
  </si>
  <si>
    <t>Không vào được trang đó, tự động bị chuyển hướng về trang chủ theo đúng vai trò Employee, không lộ menu/nút thao tác nào của Admin.</t>
  </si>
  <si>
    <t>AUTH-05</t>
  </si>
  <si>
    <t xml:space="preserve"> Token hết hạn hoặc bị sửa sai buộc đăng xuất</t>
  </si>
  <si>
    <t>Bước 1: Đăng nhập bình thường bằng 1 tài khoản bất kỳ.
Bước 2: Mở DevTools &gt; Application &gt; Local Storage, sửa giá trị key "token" thành 1 chuỗi bất kỳ (mô phỏng token hỏng/hết hạn).
Bước 3: Tải lại trang hoặc điều hướng sang trang khác trong hệ thống.</t>
  </si>
  <si>
    <t>Hệ thống phát hiện token không hợp lệ, tự động đăng xuất và chuyển về trang đăng nhập, không còn giữ trạng thái đăng nhập cũ.</t>
  </si>
  <si>
    <t>AUTH-06</t>
  </si>
  <si>
    <t xml:space="preserve"> Đăng xuất xong không truy cập lại được trang đã bảo vệ</t>
  </si>
  <si>
    <t>Bước 1: Đăng nhập bình thường, vào 1 trang bất kỳ cần đăng nhập.
Bước 2: Bấm "Đăng xuất".
Bước 3: Bấm nút Back của trình duyệt để quay lại trang trước đó.</t>
  </si>
  <si>
    <t>Không xem lại được nội dung trang cũ, bị chuyển về trang đăng nhập vì phiên đã bị xoá (token đã bị gỡ khỏi Local Storage).</t>
  </si>
  <si>
    <t>ORG - Người dùng &amp; Chain / Region / Store</t>
  </si>
  <si>
    <t>Quản lý tài khoản và cấu trúc Chain – Region – Store.</t>
  </si>
  <si>
    <t>Test Người dùng &amp; phòng ban</t>
  </si>
  <si>
    <t>ORG-01</t>
  </si>
  <si>
    <t xml:space="preserve"> Tạo Nhân viên bắt buộc phải gắn Siêu thị</t>
  </si>
  <si>
    <t>ORG-02</t>
  </si>
  <si>
    <t xml:space="preserve"> Tạo Trainer không bắt buộc phải gắn Siêu thị</t>
  </si>
  <si>
    <t>Bước 1: Admin thêm người dùng vai trò Trainer, để trống phần chọn Siêu thị, bấm Lưu.</t>
  </si>
  <si>
    <t>Tạo thành công, Trainer không gắn Siêu thị nào (phụ trách toàn tập đoàn).</t>
  </si>
  <si>
    <t>ORG-03</t>
  </si>
  <si>
    <t xml:space="preserve"> Khoá và kích hoạt lại tài khoản</t>
  </si>
  <si>
    <t>Bước 1: Admin bấm "Khoá tài khoản" trên 1 nhân viên đang hoạt động, xác nhận.
Bước 2: Bấm "Kích hoạt lại" cho đúng tài khoản đó.</t>
  </si>
  <si>
    <t>Sau khi khoá, tài khoản không đăng nhập được; sau khi kích hoạt lại, đăng nhập lại được bình thường và nhận thông báo "Tài khoản đã được kích hoạt lại".</t>
  </si>
  <si>
    <t>ORG-04</t>
  </si>
  <si>
    <t xml:space="preserve"> Không xoá được Chuỗi/Vùng/Siêu thị đang có dữ liệu phụ thuộc</t>
  </si>
  <si>
    <t>Bước 1: Admin vào Cơ cấu bán lẻ, thử xoá 1 Chuỗi đang có Siêu thị hoặc khoá học sử dụng.
Bước 2: Thử xoá 1 Siêu thị đang có người dùng gắn vào.</t>
  </si>
  <si>
    <t>Cả hai bị từ chối, thông báo rõ số lượng bản ghi đang phụ thuộc, dữ liệu không bị xoá.</t>
  </si>
  <si>
    <t>ORG-05</t>
  </si>
  <si>
    <t xml:space="preserve"> Đổi Chuỗi/Vùng của Siêu thị có xác nhận tác động</t>
  </si>
  <si>
    <t>Bước 1: Admin sửa 1 Siêu thị, đổi sang Chuỗi hoặc Vùng khác.
Bước 2: Quan sát hộp xác nhận trước khi lưu, đọc nội dung cảnh báo, xác nhận lưu.</t>
  </si>
  <si>
    <t>Hiện rõ cảnh báo phạm vi khoá học/Trainer liên quan có thể thay đổi, ghi danh cũ vẫn được giữ nguyên; sau khi xác nhận, quan hệ Chuỗi/Vùng mới được lưu đúng.</t>
  </si>
  <si>
    <t>ORG-06</t>
  </si>
  <si>
    <t xml:space="preserve"> Lọc Siêu thị theo đúng giao Chuỗi + Vùng</t>
  </si>
  <si>
    <t>Danh sách Siêu thị chỉ còn hiển thị đúng những Siêu thị thoả cả 2 điều kiện (đúng Chuỗi VÀ đúng Vùng), không hiện Siêu thị chỉ thoả 1 trong 2.</t>
  </si>
  <si>
    <t>ORG-07</t>
  </si>
  <si>
    <t xml:space="preserve"> Chặn tạo tài khoản trùng username</t>
  </si>
  <si>
    <t>Bước 1: Admin tạo 1 user mới, đặt username trùng với 1 tài khoản đã có sẵn, bấm Lưu.</t>
  </si>
  <si>
    <t>Bị từ chối, báo rõ "Username đã được sử dụng", không tạo thêm bản ghi mới.</t>
  </si>
  <si>
    <t>ORG-08</t>
  </si>
  <si>
    <t xml:space="preserve"> Chặn tạo tài khoản trùng email</t>
  </si>
  <si>
    <t>Bước 1: Admin tạo 1 user mới, đặt email trùng với 1 tài khoản đã có sẵn, bấm Lưu.</t>
  </si>
  <si>
    <t>Bị từ chối, báo rõ "Email đã được sử dụng", không tạo thêm bản ghi mới.</t>
  </si>
  <si>
    <t>ORG-09</t>
  </si>
  <si>
    <t xml:space="preserve"> Kiểm tra các trường bắt buộc khi tạo user</t>
  </si>
  <si>
    <t>Bước 1: Admin tạo user mới, lần lượt để trống Họ tên, Username hoặc Email, bấm Lưu mỗi lần.</t>
  </si>
  <si>
    <t>CRS - Quản lý khóa học &amp; phạm vi</t>
  </si>
  <si>
    <t>Vòng đời khóa, phạm vi Chain/Region và quyền Trainer.</t>
  </si>
  <si>
    <t>Test Quản lý khoá học</t>
  </si>
  <si>
    <t>CRS-01</t>
  </si>
  <si>
    <t xml:space="preserve"> Khoá học mới luôn ở trạng thái chưa mở</t>
  </si>
  <si>
    <t>Bước 1: Trainer bấm "Tạo khóa học", điền tên/mô tả, bấm Lưu (không có tuỳ chọn bật trạng thái hoạt động khi tạo mới).</t>
  </si>
  <si>
    <t>CRS-02</t>
  </si>
  <si>
    <t xml:space="preserve"> Chặn mở khoá học chưa có nội dung học tập</t>
  </si>
  <si>
    <t>Bước 1: Trainer tạo khoá học mới, chưa thêm bài học hoặc bài kiểm tra nào.
Bước 2: Thử bật "Mở khoá học".</t>
  </si>
  <si>
    <t>Bị từ chối, báo rõ khoá học chưa có bài học/bài kiểm tra hợp lệ, khoá học vẫn ở trạng thái chưa mở.</t>
  </si>
  <si>
    <t>CRS-03</t>
  </si>
  <si>
    <t xml:space="preserve"> Phạm vi khoá học lọc đúng theo giao Chuỗi + Vùng</t>
  </si>
  <si>
    <t>Bước 1: Trainer tạo khoá học, chọn phạm vi áp dụng gồm 1 Chuỗi cụ thể và 1 Vùng cụ thể (không để trống).
Bước 2: Đăng nhập bằng 1 Nhân viên thuộc đúng Chuỗi+Vùng đó và 1 Nhân viên chỉ thuộc 1 trong 2 điều kiện, kiểm tra danh mục khoá học của từng người.</t>
  </si>
  <si>
    <t>Chỉ Nhân viên thoả cả 2 điều kiện (đúng Chuỗi VÀ đúng Vùng) mới thấy khoá học; người chỉ thoả 1 điều kiện không thấy.</t>
  </si>
  <si>
    <t>CRS-04</t>
  </si>
  <si>
    <t xml:space="preserve"> Khoá thay đổi phạm vi/nội dung sau khi đã có người ghi danh</t>
  </si>
  <si>
    <t>Bước 1: Có 1 khoá học đang mở và đã có ít nhất 1 Nhân viên ghi danh.
Bước 2: Trainer thử đổi phạm vi Chuỗi/Vùng áp dụng của khoá học đó.</t>
  </si>
  <si>
    <t>Backend từ chối thay đổi phạm vi, báo rõ lý do đã có người ghi danh; dữ liệu ghi danh cũ vẫn giữ nguyên.</t>
  </si>
  <si>
    <t>CRS-05</t>
  </si>
  <si>
    <t xml:space="preserve"> Chặn xem khoá học ẩn/của Trainer khác</t>
  </si>
  <si>
    <t>Bước 1: Trainer A tạo 1 khoá học rồi ẩn đi (chưa mở hoặc đã ẩn lại).
Bước 2: Trainer B (không sở hữu khoá học đó) thử truy cập trực tiếp bằng URL/ID của khoá học đó.</t>
  </si>
  <si>
    <t>Trainer B không xem được nội dung khoá học (từ chối hoặc không tìm thấy), không lộ dữ liệu của Trainer A.</t>
  </si>
  <si>
    <t>CRS-06</t>
  </si>
  <si>
    <t xml:space="preserve"> Danh mục "Khóa học của tôi" của Trainer luôn đủ, không bị lọc theo Siêu thị</t>
  </si>
  <si>
    <t>Bước 1: Trainer tạo nhiều khoá học với các trạng thái và phạm vi khác nhau (có khoá ẩn, có khoá giới hạn phạm vi).
Bước 2: Vào "Khóa học của tôi", kiểm tra danh sách hiển thị.</t>
  </si>
  <si>
    <t>Hiện đầy đủ mọi khoá học do Trainer đó tạo, kể cả đang ẩn hoặc ngoài phạm vi Siêu thị của Trainer, không bị lọc thiếu.</t>
  </si>
  <si>
    <t>CRS-07</t>
  </si>
  <si>
    <t xml:space="preserve"> Kiểm tra tên khoá học là trường bắt buộc</t>
  </si>
  <si>
    <t>Bước 1: Trainer tạo khoá học mới, để trống tên khoá học, bấm Lưu.</t>
  </si>
  <si>
    <t>Không tạo được, báo rõ lỗi tên khoá học bắt buộc.</t>
  </si>
  <si>
    <t>CRS-08</t>
  </si>
  <si>
    <t xml:space="preserve"> Mở khoá học hợp lệ khi đã có ít nhất 1 bài học</t>
  </si>
  <si>
    <t>Bước 1: Trainer thêm 1 bài học cho khoá học đang chưa mở.
Bước 2: Bật "Mở khoá học".</t>
  </si>
  <si>
    <t>Khoá học chuyển sang trạng thái Đang mở, hiển thị đúng trong danh mục khoá học của Nhân viên thuộc phạm vi.</t>
  </si>
  <si>
    <t>CRS-09</t>
  </si>
  <si>
    <t xml:space="preserve"> Chặn mở khoá học khi bộ đề câu hỏi bị lỗi</t>
  </si>
  <si>
    <t>CRS-10</t>
  </si>
  <si>
    <t xml:space="preserve"> Sửa mô tả/ảnh khoá học vẫn được phép sau khi đã có người ghi danh</t>
  </si>
  <si>
    <t>Bước 1: Có khoá học đang mở và đã có Nhân viên ghi danh.
Bước 2: Trainer sửa mô tả hoặc ảnh đại diện khoá học (không đổi phạm vi Chuỗi/Vùng).</t>
  </si>
  <si>
    <t>Cập nhật thành công, dữ liệu ghi danh/tiến độ của Nhân viên không bị ảnh hưởng.</t>
  </si>
  <si>
    <t>ENR - Ghi danh &amp; tiến độ học</t>
  </si>
  <si>
    <t>Điều kiện theo Store, chống trùng và tiến độ tổng hợp.</t>
  </si>
  <si>
    <t>Test Ghi danh &amp; tiến độ học</t>
  </si>
  <si>
    <t>ENR-01</t>
  </si>
  <si>
    <t xml:space="preserve"> Ghi danh Nhân viên hợp lệ vào khoá học</t>
  </si>
  <si>
    <t>Bước 1: Trainer vào khoá học, tab Ghi danh, chọn 1 Nhân viên hợp lệ trong phạm vi khoá học, bấm Ghi danh.</t>
  </si>
  <si>
    <t>Tạo đúng 1 bản ghi ghi danh, tiến độ khởi tạo 0%, Nhân viên nhận được thông báo ghi danh mới.</t>
  </si>
  <si>
    <t>ENR-02</t>
  </si>
  <si>
    <t xml:space="preserve"> Chặn ghi danh Nhân viên không thuộc phạm vi/không có Siêu thị</t>
  </si>
  <si>
    <t>Bước 1: Trainer thử ghi danh 1 Nhân viên không thuộc phạm vi Chuỗi/Vùng của khoá học, hoặc 1 tài khoản không có Siêu thị.</t>
  </si>
  <si>
    <t>Bị từ chối, không tạo bản ghi ghi danh hay dữ liệu tiến độ nào.</t>
  </si>
  <si>
    <t>ENR-03</t>
  </si>
  <si>
    <t xml:space="preserve"> Không tạo ghi danh trùng cho cùng một người</t>
  </si>
  <si>
    <t>Bước 1: Ghi danh 1 Nhân viên đã có sẵn trong khoá học đó lần nữa (qua modal ghi danh theo Siêu thị, chọn cả người đã ghi danh rồi).</t>
  </si>
  <si>
    <t>Người đã ghi danh được đánh dấu/bỏ qua tự động, không tạo thêm bản ghi ghi danh trùng.</t>
  </si>
  <si>
    <t>ENR-04</t>
  </si>
  <si>
    <t xml:space="preserve"> Ghi danh hàng loạt theo Siêu thị lọc đúng và hiện đúng số lượng thật</t>
  </si>
  <si>
    <t>Danh sách chỉ gồm Nhân viên hợp lệ (active, đúng Siêu thị); nút gửi hiển thị đúng số người thực sự sẽ được ghi danh.</t>
  </si>
  <si>
    <t>ENR-05</t>
  </si>
  <si>
    <t xml:space="preserve"> Tính tiến độ theo đúng công thức bài học + bài kiểm tra bắt buộc</t>
  </si>
  <si>
    <t>Bước 1: Nhân viên đã ghi danh, khoá học có 2 bài học và 1 bài kiểm tra quan trọng.
Bước 2: Đánh dấu hoàn thành 1 bài học, kiểm tra % tiến độ hiển thị.</t>
  </si>
  <si>
    <t>Tiến độ tính đúng theo tỉ lệ số bài học đã hoàn thành trên tổng số bài học, cập nhật ngay theo thời gian thực.</t>
  </si>
  <si>
    <t>ENR-06</t>
  </si>
  <si>
    <t xml:space="preserve"> Hoàn thành 100% và đạt bài kiểm tra quan trọng thì được cấp chứng chỉ</t>
  </si>
  <si>
    <t>Bước 1: Nhân viên hoàn thành hết bài học và làm đạt bài kiểm tra được đánh dấu quan trọng của khoá học.</t>
  </si>
  <si>
    <t>Enrollment ghi nhận hoàn thành (completedAt được set đúng 1 lần), hệ thống tự động cấp đúng 1 chứng chỉ.</t>
  </si>
  <si>
    <t>ENR-07</t>
  </si>
  <si>
    <t xml:space="preserve"> Chặn ghi danh Nhân viên đang bị khoá tài khoản</t>
  </si>
  <si>
    <t>Bước 1: Trainer thử ghi danh 1 Nhân viên đang ở trạng thái đã bị khoá (inactive) vào khoá học.</t>
  </si>
  <si>
    <t>Bị từ chối, không tạo enrollment/tiến độ/thông báo nào cho tài khoản đó.</t>
  </si>
  <si>
    <t>ENR-08</t>
  </si>
  <si>
    <t xml:space="preserve"> Chống ghi danh trùng khi 2 yêu cầu gửi gần như đồng thời</t>
  </si>
  <si>
    <t>Bước 1: Chuẩn bị 2 request ghi danh cùng 1 Nhân viên vào cùng 1 khoá học, gửi gần như cùng lúc (2 tab hoặc 2 request Postman).</t>
  </si>
  <si>
    <t>Chỉ tạo đúng 1 bản ghi ghi danh, request còn lại kết thúc an toàn (không lỗi 500, không tạo dữ liệu trùng).</t>
  </si>
  <si>
    <t>TST - Bài kiểm tra, câu hỏi &amp; lượt làm</t>
  </si>
  <si>
    <t>Tính hợp lệ của đề, quyền làm bài, chấm điểm và giới hạn lượt.</t>
  </si>
  <si>
    <t>Test Bài kiểm tra &amp; làm bài</t>
  </si>
  <si>
    <t>TST-01</t>
  </si>
  <si>
    <t xml:space="preserve"> Tạo bài kiểm tra mới, chỉ active khi đề hợp lệ</t>
  </si>
  <si>
    <t>Bước 1: Trainer tạo bài kiểm tra mới, nhập điểm đạt và số lần làm tối đa, chưa thêm câu hỏi nào.
Bước 2: Thử bật trạng thái hoạt động cho bài kiểm tra.</t>
  </si>
  <si>
    <t>Tạo bài kiểm tra thành công nhưng không thể bật hoạt động khi chưa có câu hỏi active hợp lệ.</t>
  </si>
  <si>
    <t>TST-02</t>
  </si>
  <si>
    <t xml:space="preserve"> Câu hỏi phải có tối thiểu 2 lựa chọn và đúng 1 đáp án đúng</t>
  </si>
  <si>
    <t>Bước 1: Trainer thêm 1 câu hỏi chỉ có 1 lựa chọn, thử lưu/active.
Bước 2: Thêm câu hỏi khác đủ lựa chọn nhưng đánh dấu 2 đáp án đúng cùng lúc, thử lưu/active.</t>
  </si>
  <si>
    <t>Cả 2 trường hợp đều không active được, báo đúng lý do (cần tối thiểu 2 lựa chọn / cần đúng chính xác 1 đáp án đúng).</t>
  </si>
  <si>
    <t>TST-03</t>
  </si>
  <si>
    <t xml:space="preserve"> Khoá không cho sửa bài kiểm tra sau khi đã có người làm bài</t>
  </si>
  <si>
    <t>Bước 1: Có 1 bài kiểm tra đã có ít nhất 1 lượt làm bài (TestAttempt).
Bước 2: Trainer thử sửa điểm đạt, số lần làm tối đa hoặc đánh dấu quan trọng của bài kiểm tra đó.</t>
  </si>
  <si>
    <t>Các trường bị khoá, giao diện disable rõ ràng kèm lý do, backend cũng từ chối nếu cố gửi request sửa.</t>
  </si>
  <si>
    <t>TST-04</t>
  </si>
  <si>
    <t xml:space="preserve"> Không cho mở 2 lượt làm bài cùng lúc</t>
  </si>
  <si>
    <t>Bước 1: Nhân viên bấm "Bắt đầu làm bài" cho 1 bài kiểm tra, chưa nộp.
Bước 2: Mở lại trang bài kiểm tra đó, thử bấm bắt đầu làm bài lần nữa.</t>
  </si>
  <si>
    <t>Hệ thống đưa về đúng lượt làm bài đang mở (Tiếp tục làm bài), không tạo thêm lượt làm bài thứ 2.</t>
  </si>
  <si>
    <t>TST-05</t>
  </si>
  <si>
    <t xml:space="preserve"> Nộp bài, chấm điểm đúng và cập nhật tiến độ</t>
  </si>
  <si>
    <t>Bước 1: Nhân viên làm bài, chọn đáp án đúng đủ điểm đạt, bấm Nộp bài.</t>
  </si>
  <si>
    <t>Điểm số, trạng thái đạt/chưa đạt và thời điểm nộp bài được lưu đúng; tiến độ khoá học của Nhân viên được cập nhật theo đúng 1 lần.</t>
  </si>
  <si>
    <t>TST-06</t>
  </si>
  <si>
    <t xml:space="preserve"> Giới hạn đúng số lần làm bài tối đa</t>
  </si>
  <si>
    <t>Bước 1: Nhân viên làm và nộp bài đủ số lần tối đa (maxAttempts) của bài kiểm tra.
Bước 2: Thử bấm bắt đầu làm bài thêm 1 lần nữa.</t>
  </si>
  <si>
    <t>Bị từ chối, hiển thị "Đã hết lượt làm bài", không tạo thêm lượt làm bài mới.</t>
  </si>
  <si>
    <t>TST-07</t>
  </si>
  <si>
    <t xml:space="preserve"> Kiểm tra điểm đạt và số lần làm tối đa hợp lệ</t>
  </si>
  <si>
    <t>Bước 1: Trainer tạo/sửa bài kiểm tra với điểm đạt hoặc số lần làm tối đa là giá trị không hợp lệ (âm, 0, hoặc để trống), bấm Lưu.</t>
  </si>
  <si>
    <t>Form/API từ chối, chỉ rõ lỗi, không lưu cấu hình sai.</t>
  </si>
  <si>
    <t>TST-08</t>
  </si>
  <si>
    <t xml:space="preserve"> Câu hỏi mới thêm vào bài kiểm tra đang hoạt động mặc định chưa active</t>
  </si>
  <si>
    <t>Bước 1: Trainer thêm 1 câu hỏi mới vào bài kiểm tra đang ở trạng thái hoạt động.</t>
  </si>
  <si>
    <t>Câu hỏi mới ở trạng thái chưa active, chưa xuất hiện trong đề thi cho Nhân viên cho đến khi Trainer chủ động bật.</t>
  </si>
  <si>
    <t>TST-09</t>
  </si>
  <si>
    <t xml:space="preserve"> Chặn Nhân viên chưa ghi danh làm bài kiểm tra</t>
  </si>
  <si>
    <t>Bước 1: 1 Nhân viên chưa ghi danh khoá học, thử gọi trực tiếp API/URL bắt đầu làm bài kiểm tra của khoá học đó.</t>
  </si>
  <si>
    <t>Bị từ chối, không lộ đề bài, không tạo lượt làm bài nào.</t>
  </si>
  <si>
    <t>TST-10</t>
  </si>
  <si>
    <t xml:space="preserve"> Chặn vai trò không phải Nhân viên làm bài kiểm tra</t>
  </si>
  <si>
    <t>Bước 1: Đăng nhập bằng Trainer hoặc Admin, thử gọi API bắt đầu làm bài kiểm tra như một người học.</t>
  </si>
  <si>
    <t>Bị từ chối theo đúng phân quyền, không tạo lượt làm bài.</t>
  </si>
  <si>
    <t>TST-11</t>
  </si>
  <si>
    <t xml:space="preserve"> Nộp bài không đạt lưu đúng kết quả</t>
  </si>
  <si>
    <t>Bước 1: Nhân viên làm bài, cố ý chọn đáp án sai để điểm dưới mức đạt, bấm Nộp bài.</t>
  </si>
  <si>
    <t>Lưu đúng điểm số, đánh dấu không đạt (failed), bài kiểm tra đó chưa được tính là hoàn thành trong tiến độ khoá học.</t>
  </si>
  <si>
    <t>TST-12</t>
  </si>
  <si>
    <t xml:space="preserve"> Bỏ lượt làm bài đang dang dở</t>
  </si>
  <si>
    <t>Bước 1: Nhân viên đang làm 1 lượt bài kiểm tra (chưa nộp), dùng chức năng bỏ lượt (abandon) nếu có, hoặc để hết hạn nếu hệ thống giới hạn thời gian.</t>
  </si>
  <si>
    <t>Lượt làm bài được tính điểm 0, trạng thái không đạt, có thời điểm nộp bài; không còn lượt nào đang mở, Nhân viên bắt đầu lượt mới được nếu còn hạn mức.</t>
  </si>
  <si>
    <t>CRT - Chứng chỉ</t>
  </si>
  <si>
    <t>Cấp đúng điều kiện, chống trùng và bảo vệ PDF/chủ sở hữu.</t>
  </si>
  <si>
    <t>Test Chứng chỉ</t>
  </si>
  <si>
    <t>CRT-01</t>
  </si>
  <si>
    <t xml:space="preserve"> Cấp chứng chỉ khi hoàn thành thật đủ điều kiện</t>
  </si>
  <si>
    <t>Bước 1: Nhân viên hoàn thành 100% bài học và đạt bài kiểm tra bắt buộc của khoá học.</t>
  </si>
  <si>
    <t>Tạo đúng 1 chứng chỉ cho đúng cặp Nhân viên/khoá học, gán đúng file PDF mẫu Trainer đã cấu hình sẵn cho khoá học đó.</t>
  </si>
  <si>
    <t>CRT-02</t>
  </si>
  <si>
    <t xml:space="preserve"> Không cấp chứng chỉ khi chưa đủ điều kiện</t>
  </si>
  <si>
    <t>Bước 1: Nhân viên mới hoàn thành một phần bài học hoặc chưa đạt bài kiểm tra bắt buộc, kiểm tra trang Chứng chỉ của tôi.</t>
  </si>
  <si>
    <t>Không có chứng chỉ nào được tạo cho khoá học đó, enrollment chưa có completedAt.</t>
  </si>
  <si>
    <t>CRT-03</t>
  </si>
  <si>
    <t xml:space="preserve"> Không cấp trùng chứng chỉ cho cùng một người/khoá học</t>
  </si>
  <si>
    <t>Bước 1: Nhân viên đã có chứng chỉ của 1 khoá học, sau đó làm lại/nộp lại bài kiểm tra bắt buộc của khoá học đó.</t>
  </si>
  <si>
    <t>Vẫn chỉ có đúng 1 chứng chỉ cho cặp Nhân viên/khoá học đó, không sinh thêm bản ghi mới.</t>
  </si>
  <si>
    <t>CRT-04</t>
  </si>
  <si>
    <t xml:space="preserve"> Nhân viên chỉ xem được chứng chỉ của chính mình</t>
  </si>
  <si>
    <t>Bước 1: Đăng nhập bằng Nhân viên A, vào trang "Chứng chỉ của tôi".
Bước 2: Thử truy cập trực tiếp bằng ID chứng chỉ của Nhân viên B (không phải của mình).</t>
  </si>
  <si>
    <t>Trang của Nhân viên A chỉ hiện đúng chứng chỉ của A; truy cập chứng chỉ của B bằng ID bị từ chối, không lộ file PDF/dữ liệu.</t>
  </si>
  <si>
    <t>CRT-05</t>
  </si>
  <si>
    <t xml:space="preserve"> Chỉ Admin/Trainer sở hữu khoá học được cập nhật PDF chứng chỉ</t>
  </si>
  <si>
    <t>Bước 1: Trainer sở hữu khoá học cập nhật/đổi file PDF mẫu chứng chỉ của khoá học đó, xác nhận lưu thành công.
Bước 2: Đăng nhập bằng 1 Nhân viên, thử gọi API cập nhật PDF chứng chỉ.</t>
  </si>
  <si>
    <t>Trainer/Admin cập nhật thành công; Nhân viên bị từ chối theo đúng cấu hình phân quyền.</t>
  </si>
  <si>
    <t>CRT-06</t>
  </si>
  <si>
    <t xml:space="preserve"> Chặn tải lên file giả danh PDF</t>
  </si>
  <si>
    <t>Bước 1: Đổi tên 1 file không phải PDF (ví dụ .txt) thành đuôi .pdf, thử tải lên làm file PDF bài học hoặc mẫu chứng chỉ.</t>
  </si>
  <si>
    <t>Bị từ chối do kiểm tra chữ ký file không đúng định dạng PDF thật, không lưu file/URL nào.</t>
  </si>
  <si>
    <t>FRM - Diễn đàn khóa học</t>
  </si>
  <si>
    <t>Hỏi đáp đúng khóa, đúng người tham gia và đúng quyền.</t>
  </si>
  <si>
    <t>Test Diễn đàn khoá học</t>
  </si>
  <si>
    <t>FRM-01</t>
  </si>
  <si>
    <t xml:space="preserve"> Nhân viên đã ghi danh đặt câu hỏi thành công</t>
  </si>
  <si>
    <t>Bước 1: Nhân viên đã ghi danh khoá học, vào tab Diễn đàn, đặt 1 câu hỏi mới.</t>
  </si>
  <si>
    <t>Câu hỏi được lưu, gắn đúng người hỏi và đúng khoá học, hiển thị ngay trong danh sách diễn đàn.</t>
  </si>
  <si>
    <t>FRM-02</t>
  </si>
  <si>
    <t xml:space="preserve"> Chặn đặt câu hỏi mới khi câu trước chưa được trả lời</t>
  </si>
  <si>
    <t>Bước 1: Nhân viên vừa đặt 1 câu hỏi, chưa có ai trả lời.
Bước 2: Thử đặt thêm 1 câu hỏi khác trong cùng khoá học.</t>
  </si>
  <si>
    <t>Ô đặt câu hỏi mới bị ẩn/khoá, hiển thị thông báo đang có câu hỏi chưa được trả lời, không tạo thêm câu hỏi mới.</t>
  </si>
  <si>
    <t>FRM-03</t>
  </si>
  <si>
    <t xml:space="preserve"> Sau khi được trả lời, Nhân viên đặt được câu hỏi mới hoặc trả lời tiếp trong luồng cũ</t>
  </si>
  <si>
    <t>Bước 1: Trainer trả lời câu hỏi đang chờ của Nhân viên.
Bước 2: Nhân viên vào lại diễn đàn, thử nhắn tiếp vào đúng câu hỏi vừa được trả lời, hoặc đặt 1 câu hỏi mới.</t>
  </si>
  <si>
    <t>Nhân viên nhắn tiếp được vào đúng luồng câu hỏi cũ (không cần đợi duyệt), đồng thời có thể đặt câu hỏi mới nếu muốn.</t>
  </si>
  <si>
    <t>FRM-04</t>
  </si>
  <si>
    <t xml:space="preserve"> Chặn đặt câu hỏi khi chưa ghi danh khoá học</t>
  </si>
  <si>
    <t>Bước 1: Nhân viên chưa ghi danh khoá học nào, thử truy cập diễn đàn của 1 khoá học bất kỳ và đặt câu hỏi.</t>
  </si>
  <si>
    <t>Bị từ chối đọc/đăng bài, không tạo được câu hỏi.</t>
  </si>
  <si>
    <t>FRM-05</t>
  </si>
  <si>
    <t xml:space="preserve"> Trainer trả lời đúng câu hỏi và Nhân viên nhận được thông báo</t>
  </si>
  <si>
    <t>Bước 1: Trainer sở hữu khoá học trả lời 1 câu hỏi đang chờ trong diễn đàn.</t>
  </si>
  <si>
    <t>Câu trả lời lưu đúng tác giả, hiển thị ngay dưới câu hỏi; Nhân viên đặt câu hỏi nhận được thông báo có phản hồi mới.</t>
  </si>
  <si>
    <t>FRM-06</t>
  </si>
  <si>
    <t xml:space="preserve"> Trang quản lý Diễn đàn của Trainer hiển thị đủ câu hỏi của khoá</t>
  </si>
  <si>
    <t>Bước 1: Trainer vào tab Diễn đàn trong khu vực quản lý khoá học của mình.</t>
  </si>
  <si>
    <t>Hiển thị đầy đủ mọi câu hỏi (đã và chưa trả lời) của đúng khoá học đó, có thể trả lời trực tiếp tại đây.</t>
  </si>
  <si>
    <t>BOT - Trợ lý ảo &amp; hàng đợi Trainer</t>
  </si>
  <si>
    <t>Hội thoại, lịch sử và chuyển câu hỏi đến Trainer đúng quyền.</t>
  </si>
  <si>
    <t>Test Trợ lý ảo &amp; hàng đợi trainer</t>
  </si>
  <si>
    <t>BOT-01</t>
  </si>
  <si>
    <t xml:space="preserve"> Gửi câu hỏi cho trợ lý ảo và nhận câu trả lời dựa trên tài liệu thật</t>
  </si>
  <si>
    <t>Nhận được câu trả lời liên quan đúng nội dung tài liệu, lịch sử chat hiển thị đúng thứ tự câu hỏi/trả lời.</t>
  </si>
  <si>
    <t>BOT-02</t>
  </si>
  <si>
    <t xml:space="preserve"> Chặn gửi câu hỏi trống</t>
  </si>
  <si>
    <t>Bước 1: Mở khung chat, để trống ô nhập hoặc chỉ gõ khoảng trắng, quan sát nút gửi.</t>
  </si>
  <si>
    <t>Nút gửi bị disable, không có tin nhắn nào được thêm vào lịch sử chat.</t>
  </si>
  <si>
    <t>BOT-03</t>
  </si>
  <si>
    <t xml:space="preserve"> Chuyển câu hỏi vào hàng đợi Trainer khi trợ lý ảo không tìm thấy thông tin</t>
  </si>
  <si>
    <t>Bước 1: Nhân viên hỏi 1 câu hoàn toàn không liên quan đến tài liệu đã nạp (ví dụ hỏi về thời tiết).</t>
  </si>
  <si>
    <t>Khung chat báo không tìm thấy thông tin và đã chuyển cho Trainer; câu hỏi xuất hiện đúng 1 lần trong hàng đợi "Chờ trả lời" của Trainer phù hợp.</t>
  </si>
  <si>
    <t>BOT-04</t>
  </si>
  <si>
    <t>BOT-05</t>
  </si>
  <si>
    <t xml:space="preserve"> Trainer trả lời câu hỏi trong hàng đợi</t>
  </si>
  <si>
    <t>Bước 1: Trainer mở 1 câu hỏi ở tab "Chờ trả lời", nhập câu trả lời, bấm Gửi.</t>
  </si>
  <si>
    <t>Câu hỏi chuyển sang tab "Đã trả lời", ô trả lời bị khoá lại; Nhân viên nhận được thông báo và thấy câu trả lời tại "Câu hỏi của tôi".</t>
  </si>
  <si>
    <t xml:space="preserve"> Tạo phiên chat mới tách biệt lịch sử cũ</t>
  </si>
  <si>
    <t>Bước 1: Nhân viên đã có lịch sử chat trong phiên hiện tại.
Bước 2: Xoá khoá lưu phiên chat (session) trong Local Storage rồi tải lại trang, gửi 1 câu hỏi mới.</t>
  </si>
  <si>
    <t>Khung chat trống trước khi gửi (không còn thấy lịch sử phiên cũ); dữ liệu câu hỏi/trả lời của phiên cũ vẫn còn nguyên khi tra cứu lại đúng session cũ.</t>
  </si>
  <si>
    <t>NTF - Thông báo &amp; điểm thưởng</t>
  </si>
  <si>
    <t>Thông báo đúng sự kiện và điểm nhất quán, không làm hỏng luồng chính.</t>
  </si>
  <si>
    <t>Test Thông báo &amp; điểm thưởng</t>
  </si>
  <si>
    <t>NTF-01</t>
  </si>
  <si>
    <t xml:space="preserve"> Thông báo đúng sự kiện ghi danh khoá học</t>
  </si>
  <si>
    <t>Bước 1: Trainer ghi danh 1 Nhân viên vào khoá học.
Bước 2: Đăng nhập bằng đúng Nhân viên đó, kiểm tra chuông thông báo.</t>
  </si>
  <si>
    <t>Nhận đúng 1 thông báo ghi danh khoá học mới, bấm vào dẫn đúng tới khoá học tương ứng.</t>
  </si>
  <si>
    <t>NTF-02</t>
  </si>
  <si>
    <t xml:space="preserve"> Đếm số thông báo chưa đọc và đánh dấu đã đọc đúng</t>
  </si>
  <si>
    <t>Bước 1: Có sẵn vài thông báo chưa đọc, ghi lại số hiển thị trên chuông thông báo.
Bước 2: Mở 1 thông báo, đánh dấu đã đọc, tải lại trang.</t>
  </si>
  <si>
    <t>Số chưa đọc giảm đúng 1 ngay sau khi đọc và vẫn giữ đúng số đó sau khi tải lại trang.</t>
  </si>
  <si>
    <t>NTF-03</t>
  </si>
  <si>
    <t xml:space="preserve"> Chặn xem/xoá thông báo của người khác</t>
  </si>
  <si>
    <t>Bước 1: Đăng nhập bằng tài khoản A, lấy ID 1 thông báo của tài khoản A.
Bước 2: Đăng nhập bằng tài khoản B, thử gọi API đánh dấu đã đọc/xoá đúng ID thông báo đó.</t>
  </si>
  <si>
    <t>Bị từ chối, dữ liệu thông báo của tài khoản A không thay đổi.</t>
  </si>
  <si>
    <t>NTF-04</t>
  </si>
  <si>
    <t xml:space="preserve"> Cộng điểm đúng khi hoàn thành nghiệp vụ có cấu hình quy tắc điểm</t>
  </si>
  <si>
    <t>Bước 1: Nhân viên hoàn thành 1 bài học ở khoá học đang có quy tắc điểm LESSON_COMPLETED được cấu hình.</t>
  </si>
  <si>
    <t>Điểm được cộng đúng 1 lần theo đúng số điểm quy tắc đang cấu hình, không cộng trùng nếu bấm hoàn thành lại.</t>
  </si>
  <si>
    <t>NTF-05</t>
  </si>
  <si>
    <t xml:space="preserve"> Thiếu cấu hình quy tắc điểm không làm hỏng luồng chính</t>
  </si>
  <si>
    <t>Bước 1: Admin để trống/xoá tạm 1 quy tắc điểm (nếu hệ thống cho phép), sau đó cho Nhân viên hoàn thành đúng hành động ứng với quy tắc đó.</t>
  </si>
  <si>
    <t>Hành động chính vẫn thành công bình thường, chỉ không cộng điểm, không phát sinh lỗi hệ thống (không lỗi 500).</t>
  </si>
  <si>
    <t>NTF-06</t>
  </si>
  <si>
    <t xml:space="preserve"> Thông báo đúng khi khoá học bị ẩn, ghi danh vẫn được giữ</t>
  </si>
  <si>
    <t>Bước 1: Trainer ẩn (đóng) 1 khoá học đang có Nhân viên ghi danh và chưa hoàn thành.</t>
  </si>
  <si>
    <t>Nhân viên liên quan nhận được thông báo khoá học đã bị ẩn; dữ liệu ghi danh/tiến độ của họ vẫn được giữ nguyên, không bị xoá.</t>
  </si>
  <si>
    <t>ADM - Trang quản trị &amp; vận hành</t>
  </si>
  <si>
    <t>Điều hướng, danh sách, upload/import và tính nhất quán UI.</t>
  </si>
  <si>
    <t>Test Trang quản trị</t>
  </si>
  <si>
    <t>ADM-01</t>
  </si>
  <si>
    <t xml:space="preserve"> Mở Dashboard Admin hiển thị đúng số liệu thật</t>
  </si>
  <si>
    <t>Bước 1: Đăng nhập Admin, vào trang chủ quản trị (Dashboard).</t>
  </si>
  <si>
    <t>Các số liệu (người dùng, siêu thị, khoá học...) tải đúng từ dữ liệu thật, không có số mẫu/giả, không lỗi console nghiêm trọng.</t>
  </si>
  <si>
    <t>ADM-02</t>
  </si>
  <si>
    <t xml:space="preserve"> Chặn tài khoản không phải Admin vào khu vực quản trị</t>
  </si>
  <si>
    <t>Bước 1: Đăng nhập bằng Trainer hoặc Nhân viên, thử truy cập trực tiếp URL khu vực Admin (/admin/...).</t>
  </si>
  <si>
    <t>Bị chuyển hướng ra khỏi khu vực Admin, không tải được dữ liệu quản trị, API tương ứng cũng từ chối nếu gọi trực tiếp.</t>
  </si>
  <si>
    <t>ADM-03</t>
  </si>
  <si>
    <t xml:space="preserve"> Tìm kiếm và lọc danh sách cập nhật đúng sau khi thêm/sửa/xoá</t>
  </si>
  <si>
    <t>Bước 1: Ở 1 trang quản trị dạng danh sách (ví dụ Người dùng), thêm mới 1 bản ghi.
Bước 2: Dùng ô tìm kiếm/bộ lọc để tìm đúng bản ghi vừa thêm.</t>
  </si>
  <si>
    <t>Danh sách và bộ lọc phản ánh đúng dữ liệu mới nhất, tìm đúng ra bản ghi vừa thêm mà không cần tải lại thủ công nhiều lần.</t>
  </si>
  <si>
    <t>ADM-04</t>
  </si>
  <si>
    <t xml:space="preserve"> Giao diện quản trị hiển thị ổn định trên màn hình laptop thường</t>
  </si>
  <si>
    <t>Bước 1: Mở các trang quản trị chính ở độ phân giải phổ biến (khoảng 1366x768), thử thao tác mở modal, cuộn bảng dữ liệu dài.</t>
  </si>
  <si>
    <t>Không bị che khuất nút bấm, không tràn ngang trang, bảng dữ liệu dài có thanh cuộn hợp lý, modal không tràn khỏi màn hình.</t>
  </si>
  <si>
    <t>ADM-05</t>
  </si>
  <si>
    <t xml:space="preserve"> Upload ảnh/PDF đúng giới hạn định dạng và dung lượng</t>
  </si>
  <si>
    <t>Bước 1: Thử tải lên 1 ảnh đúng định dạng (JPEG/PNG/WEBP) trong giới hạn dung lượng cho phép.
Bước 2: Thử tải lên 1 file sai định dạng hoặc vượt quá giới hạn dung lượng quy định.</t>
  </si>
  <si>
    <t>File hợp lệ tải lên thành công và hiển thị đúng; file sai định dạng/vượt dung lượng bị từ chối rõ ràng, không lưu lại file rác.</t>
  </si>
  <si>
    <t>TEST REPORT</t>
  </si>
  <si>
    <t>Note:</t>
  </si>
  <si>
    <t>Date</t>
  </si>
  <si>
    <t>No</t>
  </si>
  <si>
    <t>Module code</t>
  </si>
  <si>
    <t>Number of  test cases</t>
  </si>
  <si>
    <t>Sub total</t>
  </si>
  <si>
    <t>Test coverage</t>
  </si>
  <si>
    <t>%</t>
  </si>
  <si>
    <t>Test successful coverage</t>
  </si>
  <si>
    <t>PASS</t>
  </si>
  <si>
    <t>Ảnh</t>
  </si>
  <si>
    <t>Khi tải lại trang thì báo token hết hạn. Nhưng khi điều hướng sang 1 tab khác thì vẫn bình thường sau khi Token đã thay đổi</t>
  </si>
  <si>
    <t>Bước 1: Trainer mở modal ghi danh, chọn Chuỗi =&gt; Vùng =&gt; Siêu thị, xem danh sách Nhân viên hợp lệ hiện ra.
Bước 2: Bỏ chọn vài người, quan sát số trên nút gửi thay đổi theo đúng số đang chọn.</t>
  </si>
  <si>
    <t>Bước 1: Admin vào trang Người dùng, bấm "Thêm người dùng", chọn vai trò Nhân viên, điền đủ thông tin nhưng không chọn Siêu thị, bấm Lưu.
Bước 2: Thử lại, lần này chọn đủ Chuỗi =&gt; Vùng =&gt; Siêu thị rồi Lưu.</t>
  </si>
  <si>
    <t>Lần đầu không cho gửi form vì chưa chọn siêu thị. 
Lần sau tạo thành công, tài khoản mới gắn đúng Siêu thị đã chọn.</t>
  </si>
  <si>
    <t>Lỗi UI hiển thị hộp xác nhận, bị đè dưới lớp hiển thị thẻ edit</t>
  </si>
  <si>
    <t>Bước 1: Ở form chọn Siêu thị (ví dụ đang lọc ở tab Người dùng), chọn 1 Chuỗi.
Bước 2: Chọn tiếp 1 Vùng, quan sát danh sách Siêu thị được lọc lại.</t>
  </si>
  <si>
    <t>Từ chối gửi form, nút "Thêm người dùng" bị disable</t>
  </si>
  <si>
    <t>Khoá học được tạo ở trạng thái "Chưa mở", chưa hiển thị/ghi danh được cho Nhân viên.</t>
  </si>
  <si>
    <t>Bước 1: Trainer có 1 bài kiểm tra active nhưng bộ câu hỏi không hợp lệ (ví dụ câu hỏi thiếu đáp án đúng).
Bước 2: Thử mở bài kiểm tra.</t>
  </si>
  <si>
    <t>Bị từ chối, hiển thị lỗi, câu hỏi chưa được kích hoạt.</t>
  </si>
  <si>
    <t>Peding</t>
  </si>
  <si>
    <t>Không còn xuất hiện trong danh sách chọn để ghi danh nữa</t>
  </si>
  <si>
    <t>STT hiển thị bị sai. Hiện tại đang hiện số trong Database chứ ko phải thứ tự cho riêng khoá học đó</t>
  </si>
  <si>
    <t>Đúng là khi làm đúng thì lưu database, nhưng thời gian trong database bị sai thời điểm submitted</t>
  </si>
  <si>
    <t>Khi set điểm đạt là 0%, vẫn gọi API tạo được bài kiểm tra</t>
  </si>
  <si>
    <t>Mặc định khi tạo câu hỏi là Active luôn. Mong muốn hiện chưa active</t>
  </si>
  <si>
    <t>Do trang này lấy id của user (từ token) để hiển thị chứng chỉ</t>
  </si>
  <si>
    <t>Chỉ chấp nhận file pdf, nên lúc chọn không được chọn file có định dạng khác</t>
  </si>
  <si>
    <t>Bước 1: Nhân viên mở khung chat, gửi 1 câu hỏi có nội dung khớp với tài liệu đào tạo đã nạp cho RAG.</t>
  </si>
  <si>
    <t>Lỗi UI, vẫn vào được giao diện diễn đàn</t>
  </si>
  <si>
    <t>Giống FRM03</t>
  </si>
  <si>
    <t>02/09/2026
=&gt; fix 03/09/2026</t>
  </si>
  <si>
    <t>02/09/2026
=&gt; Tester test sai ý đồ của backend</t>
  </si>
  <si>
    <t xml:space="preserve">02/09/2026
=&gt; Tester test nhầm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</si>
</sst>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\-mmm\-yy"/>
    <numFmt numFmtId="165" formatCode="[$-409]d\-mmm\-yy;@"/>
    <numFmt numFmtId="166" formatCode="0.000"/>
    <numFmt numFmtId="167" formatCode="m/d/yyyy"/>
  </numFmts>
  <fonts count="20">
    <font>
      <sz val="11"/>
      <name val="ＭＳ Ｐゴシック"/>
      <charset val="128"/>
    </font>
    <font>
      <sz val="9"/>
      <name val="ＭＳ ゴシック"/>
      <family val="3"/>
      <charset val="128"/>
    </font>
    <font>
      <sz val="11"/>
      <name val="Tahoma"/>
      <family val="2"/>
      <charset val="1"/>
    </font>
    <font>
      <b/>
      <sz val="18"/>
      <name val="Tahoma"/>
      <family val="2"/>
      <charset val="1"/>
    </font>
    <font>
      <b/>
      <sz val="10"/>
      <color rgb="FF993300"/>
      <name val="Tahoma"/>
      <family val="2"/>
      <charset val="1"/>
    </font>
    <font>
      <sz val="10"/>
      <name val="Tahoma"/>
      <family val="2"/>
      <charset val="1"/>
    </font>
    <font>
      <b/>
      <sz val="10"/>
      <color rgb="FFFFFFFF"/>
      <name val="Tahoma"/>
      <family val="2"/>
      <charset val="1"/>
    </font>
    <font>
      <b/>
      <sz val="10"/>
      <name val="Tahoma"/>
      <family val="2"/>
      <charset val="1"/>
    </font>
    <font>
      <sz val="10"/>
      <color rgb="FF000000"/>
      <name val="Tahoma"/>
      <family val="2"/>
      <charset val="1"/>
    </font>
    <font>
      <sz val="12"/>
      <color rgb="FF000000"/>
      <name val="Tahoma"/>
      <family val="2"/>
      <charset val="1"/>
    </font>
    <font>
      <b/>
      <sz val="12"/>
      <color rgb="FFFFFFFF"/>
      <name val="Tahoma"/>
      <family val="2"/>
      <charset val="1"/>
    </font>
    <font>
      <sz val="12"/>
      <name val="ＭＳ Ｐゴシック"/>
      <charset val="128"/>
    </font>
    <font>
      <sz val="10"/>
      <color rgb="FFFFFFFF"/>
      <name val="Tahoma"/>
      <family val="2"/>
      <charset val="1"/>
    </font>
    <font>
      <b/>
      <sz val="10"/>
      <color rgb="FF0000FF"/>
      <name val="Tahoma"/>
      <family val="2"/>
      <charset val="1"/>
    </font>
    <font>
      <sz val="11"/>
      <name val="ＭＳ Ｐゴシック"/>
      <charset val="128"/>
    </font>
    <font>
      <b/>
      <sz val="12"/>
      <name val="Tahoma"/>
      <family val="2"/>
      <charset val="1"/>
    </font>
    <font>
      <sz val="12"/>
      <name val="Tahoma"/>
      <family val="2"/>
      <charset val="1"/>
    </font>
    <font>
      <b/>
      <sz val="12"/>
      <color rgb="FF000000"/>
      <name val="Tahoma"/>
      <family val="2"/>
      <charset val="1"/>
    </font>
    <font>
      <sz val="12"/>
      <color rgb="FFFF0000"/>
      <name val="Tahoma"/>
      <family val="2"/>
      <charset val="1"/>
    </font>
    <font>
      <u/>
      <sz val="11"/>
      <color theme="10"/>
      <name val="ＭＳ Ｐゴシック"/>
      <charset val="128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000080"/>
        <bgColor rgb="FF000080"/>
      </patternFill>
    </fill>
    <fill>
      <patternFill patternType="solid">
        <fgColor rgb="FF003366"/>
        <bgColor rgb="FF333399"/>
      </patternFill>
    </fill>
    <fill>
      <patternFill patternType="solid">
        <fgColor rgb="FF993366"/>
        <bgColor rgb="FF993366"/>
      </patternFill>
    </fill>
    <fill>
      <patternFill patternType="solid">
        <fgColor rgb="FFCCFFFF"/>
        <bgColor rgb="FFCCFFFF"/>
      </patternFill>
    </fill>
  </fills>
  <borders count="35">
    <border>
      <left/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/>
    <xf numFmtId="0" fontId="14" fillId="0" borderId="0"/>
    <xf numFmtId="0" fontId="14" fillId="0" borderId="0"/>
    <xf numFmtId="0" fontId="1" fillId="0" borderId="0"/>
    <xf numFmtId="0" fontId="19" fillId="0" borderId="0" applyNumberFormat="0" applyFill="0" applyBorder="0" applyAlignment="0" applyProtection="0"/>
  </cellStyleXfs>
  <cellXfs count="161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 applyAlignment="1">
      <alignment horizontal="left"/>
    </xf>
    <xf numFmtId="0" fontId="5" fillId="2" borderId="0" xfId="0" applyFont="1" applyFill="1"/>
    <xf numFmtId="164" fontId="5" fillId="0" borderId="0" xfId="0" applyNumberFormat="1" applyFont="1" applyAlignment="1">
      <alignment horizontal="left"/>
    </xf>
    <xf numFmtId="0" fontId="5" fillId="0" borderId="0" xfId="0" applyFont="1"/>
    <xf numFmtId="0" fontId="4" fillId="0" borderId="0" xfId="0" applyFont="1"/>
    <xf numFmtId="0" fontId="2" fillId="0" borderId="0" xfId="0" applyFont="1" applyAlignment="1">
      <alignment vertical="center"/>
    </xf>
    <xf numFmtId="165" fontId="6" fillId="3" borderId="2" xfId="0" applyNumberFormat="1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/>
    </xf>
    <xf numFmtId="165" fontId="5" fillId="0" borderId="5" xfId="0" applyNumberFormat="1" applyFont="1" applyBorder="1" applyAlignment="1">
      <alignment horizontal="center" vertical="center"/>
    </xf>
    <xf numFmtId="49" fontId="5" fillId="0" borderId="6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64" fontId="5" fillId="0" borderId="6" xfId="0" applyNumberFormat="1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165" fontId="5" fillId="0" borderId="5" xfId="0" applyNumberFormat="1" applyFont="1" applyBorder="1" applyAlignment="1">
      <alignment vertical="center"/>
    </xf>
    <xf numFmtId="49" fontId="5" fillId="0" borderId="6" xfId="0" applyNumberFormat="1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5" fontId="5" fillId="0" borderId="9" xfId="0" applyNumberFormat="1" applyFont="1" applyBorder="1" applyAlignment="1">
      <alignment vertical="center"/>
    </xf>
    <xf numFmtId="49" fontId="5" fillId="0" borderId="10" xfId="0" applyNumberFormat="1" applyFont="1" applyBorder="1" applyAlignment="1">
      <alignment vertical="center"/>
    </xf>
    <xf numFmtId="0" fontId="5" fillId="0" borderId="10" xfId="0" applyFont="1" applyBorder="1" applyAlignment="1">
      <alignment vertical="center"/>
    </xf>
    <xf numFmtId="0" fontId="5" fillId="0" borderId="11" xfId="0" applyFont="1" applyBorder="1" applyAlignment="1">
      <alignment vertical="center"/>
    </xf>
    <xf numFmtId="0" fontId="9" fillId="2" borderId="0" xfId="0" applyFont="1" applyFill="1"/>
    <xf numFmtId="0" fontId="9" fillId="0" borderId="0" xfId="0" applyFont="1"/>
    <xf numFmtId="0" fontId="11" fillId="0" borderId="0" xfId="0" applyFont="1"/>
    <xf numFmtId="0" fontId="3" fillId="0" borderId="0" xfId="1" applyFont="1"/>
    <xf numFmtId="0" fontId="7" fillId="0" borderId="0" xfId="1" applyFont="1"/>
    <xf numFmtId="0" fontId="5" fillId="0" borderId="0" xfId="1" applyFont="1"/>
    <xf numFmtId="165" fontId="5" fillId="0" borderId="0" xfId="1" applyNumberFormat="1" applyFont="1"/>
    <xf numFmtId="165" fontId="5" fillId="0" borderId="5" xfId="0" applyNumberFormat="1" applyFont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/>
    </xf>
    <xf numFmtId="0" fontId="6" fillId="3" borderId="3" xfId="0" applyFont="1" applyFill="1" applyBorder="1" applyAlignment="1">
      <alignment horizontal="center" wrapText="1"/>
    </xf>
    <xf numFmtId="0" fontId="6" fillId="3" borderId="25" xfId="0" applyFont="1" applyFill="1" applyBorder="1" applyAlignment="1">
      <alignment horizontal="center" wrapText="1"/>
    </xf>
    <xf numFmtId="0" fontId="5" fillId="0" borderId="0" xfId="0" applyFont="1" applyAlignment="1">
      <alignment wrapText="1"/>
    </xf>
    <xf numFmtId="0" fontId="5" fillId="0" borderId="5" xfId="0" applyFont="1" applyBorder="1" applyAlignment="1">
      <alignment horizontal="center" vertical="center" wrapText="1"/>
    </xf>
    <xf numFmtId="1" fontId="5" fillId="0" borderId="8" xfId="0" applyNumberFormat="1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5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1" fontId="5" fillId="0" borderId="8" xfId="0" applyNumberFormat="1" applyFont="1" applyBorder="1" applyAlignment="1">
      <alignment horizontal="center"/>
    </xf>
    <xf numFmtId="0" fontId="12" fillId="3" borderId="9" xfId="0" applyFont="1" applyFill="1" applyBorder="1" applyAlignment="1">
      <alignment horizontal="center"/>
    </xf>
    <xf numFmtId="0" fontId="6" fillId="3" borderId="10" xfId="0" applyFont="1" applyFill="1" applyBorder="1"/>
    <xf numFmtId="1" fontId="12" fillId="3" borderId="10" xfId="0" applyNumberFormat="1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10" fontId="5" fillId="0" borderId="0" xfId="0" applyNumberFormat="1" applyFont="1" applyAlignment="1">
      <alignment horizontal="center"/>
    </xf>
    <xf numFmtId="9" fontId="5" fillId="0" borderId="0" xfId="0" applyNumberFormat="1" applyFont="1" applyAlignment="1">
      <alignment horizontal="center"/>
    </xf>
    <xf numFmtId="2" fontId="13" fillId="0" borderId="0" xfId="0" applyNumberFormat="1" applyFont="1" applyAlignment="1">
      <alignment horizontal="right" wrapText="1"/>
    </xf>
    <xf numFmtId="0" fontId="8" fillId="0" borderId="0" xfId="0" applyFont="1" applyAlignment="1">
      <alignment horizontal="center" wrapText="1"/>
    </xf>
    <xf numFmtId="0" fontId="9" fillId="2" borderId="0" xfId="0" applyFont="1" applyFill="1" applyAlignment="1">
      <alignment horizontal="left" wrapText="1"/>
    </xf>
    <xf numFmtId="0" fontId="9" fillId="2" borderId="0" xfId="0" applyFont="1" applyFill="1" applyAlignment="1">
      <alignment wrapText="1"/>
    </xf>
    <xf numFmtId="0" fontId="15" fillId="2" borderId="13" xfId="2" applyFont="1" applyFill="1" applyBorder="1" applyAlignment="1">
      <alignment horizontal="left" wrapText="1"/>
    </xf>
    <xf numFmtId="0" fontId="16" fillId="2" borderId="0" xfId="2" applyFont="1" applyFill="1" applyAlignment="1">
      <alignment horizontal="left" wrapText="1"/>
    </xf>
    <xf numFmtId="0" fontId="9" fillId="2" borderId="0" xfId="0" applyFont="1" applyFill="1" applyAlignment="1">
      <alignment horizontal="center" wrapText="1"/>
    </xf>
    <xf numFmtId="0" fontId="15" fillId="2" borderId="14" xfId="2" applyFont="1" applyFill="1" applyBorder="1" applyAlignment="1">
      <alignment horizontal="left" vertical="center" wrapText="1"/>
    </xf>
    <xf numFmtId="0" fontId="16" fillId="2" borderId="0" xfId="2" applyFont="1" applyFill="1" applyAlignment="1">
      <alignment horizontal="left" vertical="center" wrapText="1"/>
    </xf>
    <xf numFmtId="0" fontId="9" fillId="2" borderId="0" xfId="0" applyFont="1" applyFill="1" applyAlignment="1">
      <alignment vertical="center" wrapText="1"/>
    </xf>
    <xf numFmtId="0" fontId="9" fillId="0" borderId="0" xfId="0" applyFont="1" applyAlignment="1">
      <alignment vertical="center" wrapText="1"/>
    </xf>
    <xf numFmtId="0" fontId="9" fillId="2" borderId="16" xfId="0" applyFont="1" applyFill="1" applyBorder="1" applyAlignment="1">
      <alignment horizontal="center" wrapText="1"/>
    </xf>
    <xf numFmtId="0" fontId="9" fillId="0" borderId="18" xfId="0" applyFont="1" applyBorder="1" applyAlignment="1">
      <alignment horizontal="center"/>
    </xf>
    <xf numFmtId="1" fontId="9" fillId="2" borderId="19" xfId="0" applyNumberFormat="1" applyFont="1" applyFill="1" applyBorder="1" applyAlignment="1">
      <alignment horizontal="center" wrapText="1"/>
    </xf>
    <xf numFmtId="1" fontId="9" fillId="2" borderId="0" xfId="0" applyNumberFormat="1" applyFont="1" applyFill="1" applyAlignment="1">
      <alignment horizontal="left" wrapText="1"/>
    </xf>
    <xf numFmtId="1" fontId="9" fillId="2" borderId="0" xfId="0" applyNumberFormat="1" applyFont="1" applyFill="1" applyAlignment="1">
      <alignment horizontal="center" wrapText="1"/>
    </xf>
    <xf numFmtId="0" fontId="9" fillId="2" borderId="21" xfId="0" applyFont="1" applyFill="1" applyBorder="1" applyAlignment="1">
      <alignment horizontal="center" wrapText="1"/>
    </xf>
    <xf numFmtId="0" fontId="9" fillId="0" borderId="0" xfId="0" applyFont="1" applyAlignment="1">
      <alignment vertical="top"/>
    </xf>
    <xf numFmtId="166" fontId="9" fillId="0" borderId="16" xfId="0" applyNumberFormat="1" applyFont="1" applyBorder="1" applyAlignment="1">
      <alignment horizontal="left" vertical="top" wrapText="1"/>
    </xf>
    <xf numFmtId="0" fontId="9" fillId="0" borderId="16" xfId="0" applyFont="1" applyBorder="1" applyAlignment="1">
      <alignment vertical="top" wrapText="1"/>
    </xf>
    <xf numFmtId="0" fontId="9" fillId="0" borderId="16" xfId="0" applyFont="1" applyBorder="1" applyAlignment="1">
      <alignment horizontal="left" vertical="top" wrapText="1"/>
    </xf>
    <xf numFmtId="167" fontId="18" fillId="0" borderId="24" xfId="0" applyNumberFormat="1" applyFont="1" applyBorder="1" applyAlignment="1">
      <alignment horizontal="left" vertical="top" wrapText="1"/>
    </xf>
    <xf numFmtId="166" fontId="9" fillId="0" borderId="0" xfId="0" applyNumberFormat="1" applyFont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0" xfId="0" applyFont="1" applyAlignment="1">
      <alignment horizontal="left" vertical="top" wrapText="1"/>
    </xf>
    <xf numFmtId="0" fontId="11" fillId="0" borderId="0" xfId="0" applyFont="1" applyAlignment="1">
      <alignment horizontal="left"/>
    </xf>
    <xf numFmtId="0" fontId="16" fillId="0" borderId="0" xfId="0" applyFont="1"/>
    <xf numFmtId="167" fontId="18" fillId="0" borderId="0" xfId="0" applyNumberFormat="1" applyFont="1" applyAlignment="1">
      <alignment horizontal="left" vertical="top" wrapText="1"/>
    </xf>
    <xf numFmtId="167" fontId="18" fillId="0" borderId="16" xfId="0" applyNumberFormat="1" applyFont="1" applyBorder="1" applyAlignment="1">
      <alignment horizontal="left" vertical="top" wrapText="1"/>
    </xf>
    <xf numFmtId="0" fontId="9" fillId="2" borderId="14" xfId="0" applyFont="1" applyFill="1" applyBorder="1" applyAlignment="1">
      <alignment horizontal="center"/>
    </xf>
    <xf numFmtId="0" fontId="9" fillId="2" borderId="17" xfId="0" applyFont="1" applyFill="1" applyBorder="1" applyAlignment="1">
      <alignment horizontal="center"/>
    </xf>
    <xf numFmtId="0" fontId="9" fillId="2" borderId="18" xfId="0" applyFont="1" applyFill="1" applyBorder="1" applyAlignment="1">
      <alignment horizontal="center" wrapText="1"/>
    </xf>
    <xf numFmtId="0" fontId="18" fillId="0" borderId="0" xfId="0" applyFont="1" applyAlignment="1">
      <alignment horizontal="left" vertical="top" wrapText="1"/>
    </xf>
    <xf numFmtId="0" fontId="11" fillId="0" borderId="0" xfId="0" applyFont="1" applyAlignment="1">
      <alignment wrapText="1"/>
    </xf>
    <xf numFmtId="0" fontId="5" fillId="0" borderId="6" xfId="0" applyFont="1" applyBorder="1" applyAlignment="1">
      <alignment horizontal="left" vertical="center" wrapText="1"/>
    </xf>
    <xf numFmtId="0" fontId="5" fillId="0" borderId="6" xfId="0" applyFont="1" applyBorder="1" applyAlignment="1">
      <alignment horizontal="left" wrapText="1"/>
    </xf>
    <xf numFmtId="0" fontId="5" fillId="0" borderId="6" xfId="0" applyFont="1" applyBorder="1" applyAlignment="1">
      <alignment horizontal="left" vertical="center"/>
    </xf>
    <xf numFmtId="0" fontId="5" fillId="0" borderId="8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19" fillId="0" borderId="16" xfId="4" applyBorder="1" applyAlignment="1">
      <alignment horizontal="center" vertical="center" wrapText="1"/>
    </xf>
    <xf numFmtId="166" fontId="9" fillId="0" borderId="16" xfId="2" applyNumberFormat="1" applyFont="1" applyBorder="1" applyAlignment="1">
      <alignment horizontal="left" vertical="top" wrapText="1"/>
    </xf>
    <xf numFmtId="0" fontId="9" fillId="0" borderId="16" xfId="2" applyFont="1" applyBorder="1" applyAlignment="1">
      <alignment horizontal="left" vertical="top" wrapText="1"/>
    </xf>
    <xf numFmtId="0" fontId="9" fillId="0" borderId="16" xfId="2" applyFont="1" applyBorder="1" applyAlignment="1">
      <alignment vertical="top" wrapText="1"/>
    </xf>
    <xf numFmtId="167" fontId="18" fillId="0" borderId="24" xfId="2" applyNumberFormat="1" applyFont="1" applyBorder="1" applyAlignment="1">
      <alignment horizontal="left" vertical="top" wrapText="1"/>
    </xf>
    <xf numFmtId="0" fontId="9" fillId="0" borderId="0" xfId="0" applyFont="1" applyAlignment="1">
      <alignment horizontal="center" vertical="center" wrapText="1"/>
    </xf>
    <xf numFmtId="167" fontId="18" fillId="0" borderId="16" xfId="2" applyNumberFormat="1" applyFont="1" applyBorder="1" applyAlignment="1">
      <alignment horizontal="left" vertical="top" wrapText="1"/>
    </xf>
    <xf numFmtId="0" fontId="9" fillId="0" borderId="16" xfId="2" applyFont="1" applyBorder="1" applyAlignment="1">
      <alignment horizontal="center" vertical="center" wrapText="1"/>
    </xf>
    <xf numFmtId="0" fontId="5" fillId="2" borderId="1" xfId="2" applyFont="1" applyFill="1" applyBorder="1" applyAlignment="1">
      <alignment horizontal="left" wrapText="1"/>
    </xf>
    <xf numFmtId="0" fontId="0" fillId="0" borderId="20" xfId="0" applyBorder="1"/>
    <xf numFmtId="0" fontId="0" fillId="0" borderId="26" xfId="0" applyBorder="1"/>
    <xf numFmtId="0" fontId="9" fillId="0" borderId="24" xfId="0" applyFont="1" applyBorder="1" applyAlignment="1">
      <alignment horizontal="left" vertical="top" wrapText="1"/>
    </xf>
    <xf numFmtId="0" fontId="9" fillId="0" borderId="27" xfId="0" applyFont="1" applyBorder="1" applyAlignment="1">
      <alignment horizontal="left" vertical="top" wrapText="1"/>
    </xf>
    <xf numFmtId="0" fontId="9" fillId="0" borderId="23" xfId="0" applyFont="1" applyBorder="1" applyAlignment="1">
      <alignment horizontal="left" vertical="top" wrapText="1"/>
    </xf>
    <xf numFmtId="0" fontId="10" fillId="4" borderId="22" xfId="2" applyFont="1" applyFill="1" applyBorder="1" applyAlignment="1">
      <alignment horizontal="center" vertical="center" wrapText="1"/>
    </xf>
    <xf numFmtId="0" fontId="0" fillId="0" borderId="22" xfId="0" applyBorder="1"/>
    <xf numFmtId="0" fontId="10" fillId="5" borderId="23" xfId="0" applyFont="1" applyFill="1" applyBorder="1" applyAlignment="1">
      <alignment horizontal="left" vertical="center"/>
    </xf>
    <xf numFmtId="0" fontId="0" fillId="0" borderId="27" xfId="0" applyBorder="1"/>
    <xf numFmtId="0" fontId="0" fillId="0" borderId="23" xfId="0" applyBorder="1"/>
    <xf numFmtId="0" fontId="9" fillId="0" borderId="0" xfId="0" applyFont="1" applyAlignment="1">
      <alignment horizontal="left" vertical="top" wrapText="1"/>
    </xf>
    <xf numFmtId="0" fontId="9" fillId="0" borderId="0" xfId="0" applyFont="1" applyAlignment="1">
      <alignment vertical="top"/>
    </xf>
    <xf numFmtId="0" fontId="10" fillId="4" borderId="22" xfId="2" applyFont="1" applyFill="1" applyBorder="1" applyAlignment="1">
      <alignment vertical="center" wrapText="1"/>
    </xf>
    <xf numFmtId="0" fontId="16" fillId="2" borderId="15" xfId="2" applyFont="1" applyFill="1" applyBorder="1" applyAlignment="1">
      <alignment horizontal="left" vertical="center"/>
    </xf>
    <xf numFmtId="0" fontId="0" fillId="0" borderId="28" xfId="0" applyBorder="1"/>
    <xf numFmtId="0" fontId="17" fillId="6" borderId="16" xfId="2" applyFont="1" applyFill="1" applyBorder="1" applyAlignment="1">
      <alignment horizontal="left" vertical="center" wrapText="1"/>
    </xf>
    <xf numFmtId="0" fontId="9" fillId="0" borderId="16" xfId="0" applyFont="1" applyBorder="1" applyAlignment="1">
      <alignment horizontal="left" vertical="top" wrapText="1"/>
    </xf>
    <xf numFmtId="0" fontId="9" fillId="0" borderId="0" xfId="0" applyFont="1"/>
    <xf numFmtId="0" fontId="0" fillId="0" borderId="29" xfId="0" applyBorder="1"/>
    <xf numFmtId="0" fontId="0" fillId="0" borderId="30" xfId="0" applyBorder="1"/>
    <xf numFmtId="0" fontId="0" fillId="0" borderId="21" xfId="0" applyBorder="1"/>
    <xf numFmtId="0" fontId="0" fillId="0" borderId="31" xfId="0" applyBorder="1"/>
    <xf numFmtId="0" fontId="9" fillId="2" borderId="0" xfId="0" applyFont="1" applyFill="1" applyAlignment="1">
      <alignment horizontal="center" wrapText="1"/>
    </xf>
    <xf numFmtId="0" fontId="9" fillId="2" borderId="0" xfId="0" applyFont="1" applyFill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15" fillId="2" borderId="12" xfId="2" applyFont="1" applyFill="1" applyBorder="1" applyAlignment="1">
      <alignment horizontal="left"/>
    </xf>
    <xf numFmtId="0" fontId="0" fillId="0" borderId="12" xfId="0" applyBorder="1"/>
    <xf numFmtId="0" fontId="16" fillId="2" borderId="15" xfId="2" applyFont="1" applyFill="1" applyBorder="1" applyAlignment="1">
      <alignment horizontal="left" vertical="top"/>
    </xf>
    <xf numFmtId="0" fontId="16" fillId="2" borderId="1" xfId="2" applyFont="1" applyFill="1" applyBorder="1" applyAlignment="1">
      <alignment horizontal="left" wrapText="1"/>
    </xf>
    <xf numFmtId="0" fontId="10" fillId="4" borderId="16" xfId="2" applyFont="1" applyFill="1" applyBorder="1" applyAlignment="1">
      <alignment horizontal="center" vertical="center" wrapText="1"/>
    </xf>
    <xf numFmtId="0" fontId="9" fillId="2" borderId="20" xfId="0" applyFont="1" applyFill="1" applyBorder="1" applyAlignment="1">
      <alignment horizontal="center"/>
    </xf>
    <xf numFmtId="0" fontId="9" fillId="2" borderId="12" xfId="0" applyFont="1" applyFill="1" applyBorder="1" applyAlignment="1">
      <alignment horizontal="center" wrapText="1"/>
    </xf>
    <xf numFmtId="0" fontId="11" fillId="0" borderId="0" xfId="0" applyFont="1"/>
    <xf numFmtId="0" fontId="9" fillId="0" borderId="16" xfId="0" applyFont="1" applyBorder="1" applyAlignment="1">
      <alignment vertical="top"/>
    </xf>
    <xf numFmtId="0" fontId="11" fillId="0" borderId="20" xfId="0" applyFont="1" applyBorder="1"/>
    <xf numFmtId="0" fontId="11" fillId="0" borderId="26" xfId="0" applyFont="1" applyBorder="1"/>
    <xf numFmtId="0" fontId="11" fillId="0" borderId="22" xfId="0" applyFont="1" applyBorder="1"/>
    <xf numFmtId="0" fontId="11" fillId="0" borderId="27" xfId="0" applyFont="1" applyBorder="1"/>
    <xf numFmtId="0" fontId="11" fillId="0" borderId="23" xfId="0" applyFont="1" applyBorder="1"/>
    <xf numFmtId="0" fontId="11" fillId="0" borderId="28" xfId="0" applyFont="1" applyBorder="1"/>
    <xf numFmtId="0" fontId="11" fillId="0" borderId="29" xfId="0" applyFont="1" applyBorder="1"/>
    <xf numFmtId="0" fontId="11" fillId="0" borderId="30" xfId="0" applyFont="1" applyBorder="1"/>
    <xf numFmtId="0" fontId="11" fillId="0" borderId="21" xfId="0" applyFont="1" applyBorder="1"/>
    <xf numFmtId="0" fontId="11" fillId="0" borderId="31" xfId="0" applyFont="1" applyBorder="1"/>
    <xf numFmtId="0" fontId="11" fillId="0" borderId="12" xfId="0" applyFont="1" applyBorder="1"/>
    <xf numFmtId="0" fontId="11" fillId="0" borderId="16" xfId="0" applyFont="1" applyBorder="1"/>
    <xf numFmtId="0" fontId="9" fillId="0" borderId="16" xfId="2" applyFont="1" applyBorder="1" applyAlignment="1">
      <alignment horizontal="left" vertical="top" wrapText="1"/>
    </xf>
    <xf numFmtId="0" fontId="17" fillId="6" borderId="34" xfId="2" applyFont="1" applyFill="1" applyBorder="1" applyAlignment="1">
      <alignment horizontal="left" vertical="center" wrapText="1"/>
    </xf>
    <xf numFmtId="0" fontId="11" fillId="0" borderId="32" xfId="0" applyFont="1" applyBorder="1"/>
    <xf numFmtId="0" fontId="11" fillId="0" borderId="33" xfId="0" applyFont="1" applyBorder="1"/>
    <xf numFmtId="0" fontId="16" fillId="2" borderId="15" xfId="2" applyFont="1" applyFill="1" applyBorder="1" applyAlignment="1">
      <alignment horizontal="left" vertical="center" wrapText="1"/>
    </xf>
    <xf numFmtId="0" fontId="11" fillId="0" borderId="27" xfId="0" applyFont="1" applyBorder="1" applyAlignment="1">
      <alignment wrapText="1"/>
    </xf>
    <xf numFmtId="0" fontId="11" fillId="0" borderId="28" xfId="0" applyFont="1" applyBorder="1" applyAlignment="1">
      <alignment wrapText="1"/>
    </xf>
  </cellXfs>
  <cellStyles count="5">
    <cellStyle name="Hyperlink" xfId="4" builtinId="8"/>
    <cellStyle name="Normal" xfId="0" builtinId="0"/>
    <cellStyle name="Normal_Functional Test Case v1.0" xfId="1" xr:uid="{00000000-0005-0000-0000-000001000000}"/>
    <cellStyle name="Normal_Sheet1_Vanco_CR022a1_TestCase_v0.1" xfId="2" xr:uid="{00000000-0005-0000-0000-000002000000}"/>
    <cellStyle name="標準_結合試験(AllOvertheWorld)" xfId="3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drive/folders/1e5MtGHCHlgfjgLGHP9NuOl3qjGz5melH?usp=sharing" TargetMode="External"/><Relationship Id="rId2" Type="http://schemas.openxmlformats.org/officeDocument/2006/relationships/hyperlink" Target="https://drive.google.com/drive/folders/1fBHAQF_m3-069L6tOc4QKc2euK-kUbMC?usp=sharing" TargetMode="External"/><Relationship Id="rId1" Type="http://schemas.openxmlformats.org/officeDocument/2006/relationships/hyperlink" Target="https://drive.google.com/drive/folders/1dwF98qsANtkK94DQyRBAH85gGY0Z0lA4?usp=sharing" TargetMode="External"/><Relationship Id="rId6" Type="http://schemas.openxmlformats.org/officeDocument/2006/relationships/hyperlink" Target="https://drive.google.com/drive/folders/18prN6u3jjtuVPPSdSQb8W6NHAtV2_AB8?usp=sharing" TargetMode="External"/><Relationship Id="rId5" Type="http://schemas.openxmlformats.org/officeDocument/2006/relationships/hyperlink" Target="https://drive.google.com/drive/folders/1WbPPg1OCXBY13zprC-K_CH3yKJmDd17c?usp=sharing" TargetMode="External"/><Relationship Id="rId4" Type="http://schemas.openxmlformats.org/officeDocument/2006/relationships/hyperlink" Target="https://drive.google.com/drive/folders/1ajS2Vc0Nig3wiclsn9qb54sPUk-MAuxD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H23"/>
  <sheetViews>
    <sheetView showGridLines="0" zoomScaleNormal="100" workbookViewId="0">
      <selection activeCell="F19" sqref="F19"/>
    </sheetView>
  </sheetViews>
  <sheetFormatPr defaultColWidth="9" defaultRowHeight="13.8"/>
  <cols>
    <col min="1" max="1" width="9" style="1" customWidth="1"/>
    <col min="2" max="2" width="14.109375" style="1" customWidth="1"/>
    <col min="3" max="3" width="10.5546875" style="1" customWidth="1"/>
    <col min="4" max="4" width="22.44140625" style="1" customWidth="1"/>
    <col min="5" max="5" width="38.88671875" style="1" customWidth="1"/>
    <col min="6" max="6" width="23.77734375" style="1" customWidth="1"/>
    <col min="7" max="7" width="20.44140625" style="1" customWidth="1"/>
    <col min="8" max="8" width="26.6640625" style="1" customWidth="1"/>
    <col min="9" max="12" width="9" style="1" customWidth="1"/>
    <col min="13" max="16384" width="9" style="1"/>
  </cols>
  <sheetData>
    <row r="2" spans="1:8" ht="21.75" customHeight="1">
      <c r="A2" s="2"/>
      <c r="B2" s="3" t="s">
        <v>0</v>
      </c>
      <c r="C2" s="2"/>
      <c r="D2" s="2"/>
      <c r="E2" s="2"/>
      <c r="F2" s="2"/>
      <c r="G2" s="2"/>
    </row>
    <row r="3" spans="1:8">
      <c r="A3" s="2"/>
      <c r="B3" s="4" t="s">
        <v>1</v>
      </c>
      <c r="C3" s="5">
        <v>1.2</v>
      </c>
      <c r="D3" s="6"/>
      <c r="E3" s="2"/>
      <c r="F3" s="2"/>
      <c r="G3" s="2"/>
    </row>
    <row r="4" spans="1:8">
      <c r="A4" s="2"/>
      <c r="B4" s="4" t="s">
        <v>2</v>
      </c>
      <c r="C4" s="7">
        <v>46266</v>
      </c>
      <c r="D4" s="7"/>
      <c r="E4" s="2"/>
      <c r="F4" s="2"/>
      <c r="G4" s="2"/>
    </row>
    <row r="5" spans="1:8" ht="14.25" customHeight="1">
      <c r="A5" s="2"/>
      <c r="B5" s="4"/>
      <c r="C5" s="6"/>
      <c r="D5" s="6"/>
      <c r="E5" s="2"/>
      <c r="F5" s="2"/>
      <c r="G5" s="2"/>
    </row>
    <row r="6" spans="1:8" ht="14.25" customHeight="1">
      <c r="A6" s="2"/>
      <c r="B6" s="4" t="s">
        <v>3</v>
      </c>
      <c r="C6" s="107" t="s">
        <v>4</v>
      </c>
      <c r="D6" s="108"/>
      <c r="E6" s="109"/>
      <c r="F6" s="2"/>
      <c r="G6" s="2"/>
    </row>
    <row r="7" spans="1:8" ht="13.5" customHeight="1">
      <c r="A7" s="2"/>
      <c r="B7" s="4" t="s">
        <v>5</v>
      </c>
      <c r="C7" s="107" t="s">
        <v>6</v>
      </c>
      <c r="D7" s="108"/>
      <c r="E7" s="109"/>
      <c r="F7" s="2"/>
      <c r="G7" s="2"/>
    </row>
    <row r="8" spans="1:8">
      <c r="A8" s="2"/>
      <c r="B8" s="4"/>
      <c r="C8" s="2"/>
      <c r="D8" s="2"/>
      <c r="E8" s="2"/>
      <c r="F8" s="2"/>
      <c r="G8" s="2"/>
    </row>
    <row r="9" spans="1:8">
      <c r="A9" s="2"/>
      <c r="B9" s="8"/>
      <c r="C9" s="8"/>
      <c r="D9" s="8"/>
      <c r="E9" s="8"/>
      <c r="F9" s="2"/>
      <c r="G9" s="2"/>
    </row>
    <row r="10" spans="1:8">
      <c r="B10" s="9" t="s">
        <v>7</v>
      </c>
    </row>
    <row r="11" spans="1:8" s="10" customFormat="1" ht="26.25" customHeight="1">
      <c r="B11" s="11" t="s">
        <v>8</v>
      </c>
      <c r="C11" s="12" t="s">
        <v>9</v>
      </c>
      <c r="D11" s="12" t="s">
        <v>10</v>
      </c>
      <c r="E11" s="12" t="s">
        <v>11</v>
      </c>
      <c r="F11" s="12" t="s">
        <v>12</v>
      </c>
      <c r="G11" s="13" t="s">
        <v>13</v>
      </c>
      <c r="H11" s="14" t="s">
        <v>14</v>
      </c>
    </row>
    <row r="12" spans="1:8" s="10" customFormat="1">
      <c r="B12" s="15">
        <v>46246</v>
      </c>
      <c r="C12" s="16" t="s">
        <v>15</v>
      </c>
      <c r="D12" s="17" t="s">
        <v>16</v>
      </c>
      <c r="E12" s="18" t="s">
        <v>17</v>
      </c>
      <c r="F12" s="19" t="s">
        <v>18</v>
      </c>
      <c r="G12" s="97" t="s">
        <v>18</v>
      </c>
      <c r="H12" s="20"/>
    </row>
    <row r="13" spans="1:8" s="10" customFormat="1" ht="39" customHeight="1">
      <c r="B13" s="15">
        <v>46266</v>
      </c>
      <c r="C13" s="16" t="s">
        <v>19</v>
      </c>
      <c r="D13" s="21" t="s">
        <v>20</v>
      </c>
      <c r="E13" s="22" t="s">
        <v>21</v>
      </c>
      <c r="F13" s="19" t="s">
        <v>18</v>
      </c>
      <c r="G13" s="97" t="s">
        <v>18</v>
      </c>
      <c r="H13" s="20"/>
    </row>
    <row r="14" spans="1:8" s="23" customFormat="1" ht="13.2" customHeight="1">
      <c r="B14" s="15"/>
      <c r="C14" s="16"/>
      <c r="D14" s="94"/>
      <c r="E14" s="22"/>
      <c r="F14" s="19"/>
      <c r="G14" s="96"/>
      <c r="H14" s="95"/>
    </row>
    <row r="15" spans="1:8" s="23" customFormat="1" ht="12.75" customHeight="1">
      <c r="B15" s="24"/>
      <c r="C15" s="25"/>
      <c r="D15" s="26"/>
      <c r="E15" s="26"/>
      <c r="F15" s="26"/>
      <c r="G15" s="26"/>
      <c r="H15" s="27"/>
    </row>
    <row r="16" spans="1:8" s="10" customFormat="1">
      <c r="B16" s="15"/>
      <c r="C16" s="16"/>
      <c r="D16" s="17"/>
      <c r="E16" s="26"/>
      <c r="F16" s="26"/>
      <c r="G16" s="26"/>
      <c r="H16" s="28"/>
    </row>
    <row r="17" spans="2:8" s="10" customFormat="1">
      <c r="B17" s="24"/>
      <c r="C17" s="25"/>
      <c r="D17" s="26"/>
      <c r="E17" s="26"/>
      <c r="F17" s="26"/>
      <c r="G17" s="26"/>
      <c r="H17" s="27"/>
    </row>
    <row r="18" spans="2:8" s="10" customFormat="1">
      <c r="B18" s="24"/>
      <c r="C18" s="25"/>
      <c r="D18" s="26"/>
      <c r="E18" s="26"/>
      <c r="F18" s="26"/>
      <c r="G18" s="26"/>
      <c r="H18" s="27"/>
    </row>
    <row r="19" spans="2:8" s="10" customFormat="1">
      <c r="B19" s="24"/>
      <c r="C19" s="25"/>
      <c r="D19" s="26"/>
      <c r="E19" s="26"/>
      <c r="F19" s="26"/>
      <c r="G19" s="26"/>
      <c r="H19" s="27"/>
    </row>
    <row r="20" spans="2:8" s="10" customFormat="1">
      <c r="B20" s="24"/>
      <c r="C20" s="25"/>
      <c r="D20" s="26"/>
      <c r="E20" s="26"/>
      <c r="F20" s="26"/>
      <c r="G20" s="26"/>
      <c r="H20" s="27"/>
    </row>
    <row r="21" spans="2:8" s="10" customFormat="1">
      <c r="B21" s="24"/>
      <c r="C21" s="25"/>
      <c r="D21" s="26"/>
      <c r="E21" s="26"/>
      <c r="F21" s="26"/>
      <c r="G21" s="26"/>
      <c r="H21" s="27"/>
    </row>
    <row r="22" spans="2:8" s="10" customFormat="1">
      <c r="B22" s="24"/>
      <c r="C22" s="25"/>
      <c r="D22" s="26"/>
      <c r="E22" s="26"/>
      <c r="F22" s="26"/>
      <c r="G22" s="26"/>
      <c r="H22" s="27"/>
    </row>
    <row r="23" spans="2:8" s="10" customFormat="1">
      <c r="B23" s="29"/>
      <c r="C23" s="30"/>
      <c r="D23" s="31"/>
      <c r="E23" s="31"/>
      <c r="F23" s="31"/>
      <c r="G23" s="31"/>
      <c r="H23" s="32"/>
    </row>
  </sheetData>
  <mergeCells count="2">
    <mergeCell ref="C7:E7"/>
    <mergeCell ref="C6:E6"/>
  </mergeCells>
  <pageMargins left="0.37013888888888902" right="0.47013888888888899" top="0.5" bottom="0.37986111111111098" header="0.511811023622047" footer="0.17013888888888901"/>
  <pageSetup paperSize="9" orientation="landscape" horizontalDpi="300" verticalDpi="300"/>
  <headerFooter>
    <oddFooter>&amp;L&amp;"Tahoma,Regular"&amp;8 02ae-BM/PM/HDCV/FSOFT v1/0&amp;R&amp;"Tahoma,Regular"&amp;10 &amp;P/&amp;N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L51"/>
  <sheetViews>
    <sheetView topLeftCell="A11" zoomScale="85" zoomScaleNormal="85" workbookViewId="0">
      <selection activeCell="J18" sqref="J18"/>
    </sheetView>
  </sheetViews>
  <sheetFormatPr defaultColWidth="8.77734375" defaultRowHeight="15" outlineLevelRow="1"/>
  <cols>
    <col min="1" max="1" width="21.6640625" style="35" bestFit="1" customWidth="1"/>
    <col min="2" max="2" width="25.5546875" style="35" bestFit="1" customWidth="1"/>
    <col min="3" max="3" width="83.6640625" style="35" bestFit="1" customWidth="1"/>
    <col min="4" max="4" width="3.5546875" style="83" bestFit="1" customWidth="1"/>
    <col min="5" max="5" width="8.77734375" style="83" customWidth="1"/>
    <col min="6" max="6" width="33.5546875" style="83" customWidth="1"/>
    <col min="7" max="7" width="18.44140625" style="35" hidden="1" customWidth="1"/>
    <col min="8" max="8" width="37.44140625" style="35" customWidth="1"/>
    <col min="9" max="9" width="14.5546875" style="35" customWidth="1"/>
    <col min="10" max="10" width="8.88671875" style="84" bestFit="1" customWidth="1"/>
    <col min="11" max="11" width="34.5546875" style="35" bestFit="1" customWidth="1"/>
    <col min="12" max="15" width="8.77734375" style="35" customWidth="1"/>
    <col min="16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0"/>
      <c r="F1" s="60"/>
      <c r="G1" s="61"/>
      <c r="H1" s="61"/>
      <c r="I1" s="61"/>
      <c r="J1" s="61"/>
      <c r="K1" s="61"/>
      <c r="L1" s="33"/>
    </row>
    <row r="2" spans="1:12" s="34" customFormat="1" ht="11.25" customHeight="1" thickBot="1">
      <c r="A2" s="134"/>
      <c r="B2" s="134"/>
      <c r="C2" s="134"/>
      <c r="D2" s="134"/>
      <c r="E2" s="60"/>
      <c r="F2" s="60"/>
      <c r="G2" s="61"/>
      <c r="H2" s="61"/>
      <c r="I2" s="61"/>
      <c r="J2" s="61"/>
      <c r="K2" s="61"/>
      <c r="L2" s="33"/>
    </row>
    <row r="3" spans="1:12" s="34" customFormat="1">
      <c r="A3" s="62" t="s">
        <v>22</v>
      </c>
      <c r="B3" s="136" t="s">
        <v>4</v>
      </c>
      <c r="C3" s="108"/>
      <c r="D3" s="109"/>
      <c r="E3" s="63"/>
      <c r="F3" s="63"/>
      <c r="G3" s="63"/>
      <c r="H3" s="63"/>
      <c r="I3" s="130"/>
      <c r="J3" s="125"/>
      <c r="K3" s="125"/>
      <c r="L3" s="33"/>
    </row>
    <row r="4" spans="1:12" s="34" customFormat="1">
      <c r="A4" s="65" t="s">
        <v>23</v>
      </c>
      <c r="B4" s="135" t="s">
        <v>24</v>
      </c>
      <c r="C4" s="116"/>
      <c r="D4" s="122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26</v>
      </c>
      <c r="C5" s="116"/>
      <c r="D5" s="122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f>COUNTIF(L10:L100,"Pending")</f>
        <v>0</v>
      </c>
      <c r="E6" s="60"/>
      <c r="F6" s="60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6</v>
      </c>
      <c r="E7" s="72"/>
      <c r="F7" s="72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08"/>
      <c r="C8" s="108"/>
      <c r="D8" s="108"/>
      <c r="E8" s="60"/>
      <c r="F8" s="60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26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14"/>
      <c r="B10" s="114"/>
      <c r="C10" s="114"/>
      <c r="D10" s="127"/>
      <c r="E10" s="128"/>
      <c r="F10" s="128"/>
      <c r="G10" s="129"/>
      <c r="H10" s="114"/>
      <c r="I10" s="114"/>
      <c r="J10" s="114"/>
      <c r="K10" s="114"/>
      <c r="L10" s="33"/>
    </row>
    <row r="11" spans="1:12" ht="15" customHeight="1">
      <c r="A11" s="115"/>
      <c r="B11" s="116"/>
      <c r="C11" s="116"/>
      <c r="D11" s="116"/>
      <c r="E11" s="116"/>
      <c r="F11" s="116"/>
      <c r="G11" s="116"/>
      <c r="H11" s="116"/>
      <c r="I11" s="116"/>
      <c r="J11" s="116"/>
      <c r="K11" s="117"/>
    </row>
    <row r="12" spans="1:12" s="75" customFormat="1" ht="12.75" customHeight="1">
      <c r="A12" s="123" t="s">
        <v>39</v>
      </c>
      <c r="B12" s="116"/>
      <c r="C12" s="116"/>
      <c r="D12" s="116"/>
      <c r="E12" s="116"/>
      <c r="F12" s="116"/>
      <c r="G12" s="116"/>
      <c r="H12" s="116"/>
      <c r="I12" s="116"/>
      <c r="J12" s="116"/>
      <c r="K12" s="117"/>
    </row>
    <row r="13" spans="1:12" s="75" customFormat="1" ht="120" outlineLevel="1">
      <c r="A13" s="76" t="s">
        <v>40</v>
      </c>
      <c r="B13" s="77" t="s">
        <v>41</v>
      </c>
      <c r="C13" s="78" t="s">
        <v>42</v>
      </c>
      <c r="D13" s="110" t="s">
        <v>43</v>
      </c>
      <c r="E13" s="111"/>
      <c r="F13" s="112"/>
      <c r="G13" s="77"/>
      <c r="H13" s="99" t="s">
        <v>361</v>
      </c>
      <c r="I13" s="79">
        <v>46267</v>
      </c>
      <c r="J13" s="78" t="s">
        <v>360</v>
      </c>
      <c r="K13" s="78"/>
    </row>
    <row r="14" spans="1:12" s="75" customFormat="1" ht="75" outlineLevel="1">
      <c r="A14" s="76" t="s">
        <v>44</v>
      </c>
      <c r="B14" s="77" t="s">
        <v>45</v>
      </c>
      <c r="C14" s="78" t="s">
        <v>46</v>
      </c>
      <c r="D14" s="124" t="s">
        <v>47</v>
      </c>
      <c r="E14" s="116"/>
      <c r="F14" s="117"/>
      <c r="G14" s="77"/>
      <c r="H14" s="99" t="s">
        <v>361</v>
      </c>
      <c r="I14" s="79">
        <v>46267</v>
      </c>
      <c r="J14" s="78" t="s">
        <v>360</v>
      </c>
      <c r="K14" s="78"/>
    </row>
    <row r="15" spans="1:12" s="75" customFormat="1" ht="60" customHeight="1" outlineLevel="1">
      <c r="A15" s="76" t="s">
        <v>48</v>
      </c>
      <c r="B15" s="77" t="s">
        <v>49</v>
      </c>
      <c r="C15" s="78" t="s">
        <v>50</v>
      </c>
      <c r="D15" s="124" t="s">
        <v>51</v>
      </c>
      <c r="E15" s="116"/>
      <c r="F15" s="117"/>
      <c r="G15" s="77"/>
      <c r="H15" s="99" t="s">
        <v>361</v>
      </c>
      <c r="I15" s="79">
        <v>46267</v>
      </c>
      <c r="J15" s="78" t="s">
        <v>360</v>
      </c>
      <c r="K15" s="78"/>
    </row>
    <row r="16" spans="1:12" s="75" customFormat="1" ht="45" customHeight="1" outlineLevel="1">
      <c r="A16" s="76" t="s">
        <v>52</v>
      </c>
      <c r="B16" s="77" t="s">
        <v>53</v>
      </c>
      <c r="C16" s="78" t="s">
        <v>54</v>
      </c>
      <c r="D16" s="124" t="s">
        <v>55</v>
      </c>
      <c r="E16" s="116"/>
      <c r="F16" s="117"/>
      <c r="G16" s="77"/>
      <c r="H16" s="99" t="s">
        <v>361</v>
      </c>
      <c r="I16" s="79">
        <v>46267</v>
      </c>
      <c r="J16" s="78" t="s">
        <v>360</v>
      </c>
      <c r="K16" s="78"/>
    </row>
    <row r="17" spans="1:11" s="75" customFormat="1" ht="60" customHeight="1" outlineLevel="1">
      <c r="A17" s="76" t="s">
        <v>56</v>
      </c>
      <c r="B17" s="77" t="s">
        <v>57</v>
      </c>
      <c r="C17" s="78" t="s">
        <v>58</v>
      </c>
      <c r="D17" s="124" t="s">
        <v>59</v>
      </c>
      <c r="E17" s="116"/>
      <c r="F17" s="117"/>
      <c r="G17" s="77"/>
      <c r="H17" s="99" t="s">
        <v>361</v>
      </c>
      <c r="I17" s="79" t="s">
        <v>383</v>
      </c>
      <c r="J17" s="78" t="s">
        <v>360</v>
      </c>
      <c r="K17" s="78" t="s">
        <v>362</v>
      </c>
    </row>
    <row r="18" spans="1:11" s="75" customFormat="1" ht="45" customHeight="1" outlineLevel="1">
      <c r="A18" s="76" t="s">
        <v>60</v>
      </c>
      <c r="B18" s="77" t="s">
        <v>61</v>
      </c>
      <c r="C18" s="78" t="s">
        <v>62</v>
      </c>
      <c r="D18" s="124" t="s">
        <v>63</v>
      </c>
      <c r="E18" s="116"/>
      <c r="F18" s="117"/>
      <c r="G18" s="77"/>
      <c r="H18" s="99" t="s">
        <v>361</v>
      </c>
      <c r="I18" s="79">
        <v>46267</v>
      </c>
      <c r="J18" s="78" t="s">
        <v>360</v>
      </c>
      <c r="K18" s="78"/>
    </row>
    <row r="19" spans="1:11" s="75" customFormat="1" ht="15" customHeight="1" outlineLevel="1">
      <c r="A19" s="80"/>
      <c r="B19" s="81"/>
      <c r="C19" s="82"/>
      <c r="D19" s="118"/>
      <c r="E19" s="119"/>
      <c r="F19" s="119"/>
      <c r="G19" s="81"/>
      <c r="H19" s="81"/>
      <c r="I19" s="85"/>
      <c r="J19" s="82"/>
      <c r="K19" s="82"/>
    </row>
    <row r="20" spans="1:11" s="75" customFormat="1" ht="15" customHeight="1" outlineLevel="1">
      <c r="A20" s="80"/>
      <c r="B20" s="81"/>
      <c r="C20" s="82"/>
      <c r="D20" s="118"/>
      <c r="E20" s="119"/>
      <c r="F20" s="119"/>
      <c r="G20" s="81"/>
      <c r="H20" s="81"/>
      <c r="I20" s="85"/>
      <c r="J20" s="82"/>
      <c r="K20" s="82"/>
    </row>
    <row r="21" spans="1:11" s="75" customFormat="1" ht="15" customHeight="1" outlineLevel="1">
      <c r="A21" s="80"/>
      <c r="B21" s="81"/>
      <c r="C21" s="82"/>
      <c r="D21" s="118"/>
      <c r="E21" s="119"/>
      <c r="F21" s="119"/>
      <c r="G21" s="81"/>
      <c r="H21" s="81"/>
      <c r="I21" s="85"/>
      <c r="J21" s="82"/>
      <c r="K21" s="82"/>
    </row>
    <row r="22" spans="1:11" s="75" customFormat="1" ht="15" customHeight="1" outlineLevel="1">
      <c r="A22" s="80"/>
      <c r="B22" s="81"/>
      <c r="C22" s="82"/>
      <c r="D22" s="118"/>
      <c r="E22" s="119"/>
      <c r="F22" s="119"/>
      <c r="G22" s="81"/>
      <c r="H22" s="81"/>
      <c r="I22" s="85"/>
      <c r="J22" s="82"/>
      <c r="K22" s="82"/>
    </row>
    <row r="23" spans="1:11" s="75" customFormat="1" ht="15" customHeight="1" outlineLevel="1">
      <c r="A23" s="80"/>
      <c r="B23" s="81"/>
      <c r="C23" s="82"/>
      <c r="D23" s="118"/>
      <c r="E23" s="119"/>
      <c r="F23" s="119"/>
      <c r="G23" s="81"/>
      <c r="H23" s="81"/>
      <c r="I23" s="85"/>
      <c r="J23" s="82"/>
      <c r="K23" s="82"/>
    </row>
    <row r="24" spans="1:11" s="75" customFormat="1" ht="15" customHeight="1" outlineLevel="1">
      <c r="A24" s="80"/>
      <c r="B24" s="81"/>
      <c r="C24" s="82"/>
      <c r="D24" s="118"/>
      <c r="E24" s="119"/>
      <c r="F24" s="119"/>
      <c r="G24" s="81"/>
      <c r="H24" s="81"/>
      <c r="I24" s="85"/>
      <c r="J24" s="82"/>
      <c r="K24" s="82"/>
    </row>
    <row r="25" spans="1:11" s="75" customFormat="1" outlineLevel="1">
      <c r="A25" s="80"/>
      <c r="B25" s="81"/>
      <c r="C25" s="82"/>
      <c r="D25" s="82"/>
      <c r="G25" s="81"/>
      <c r="H25" s="81"/>
      <c r="I25" s="90"/>
      <c r="J25" s="82"/>
      <c r="K25" s="82"/>
    </row>
    <row r="26" spans="1:11">
      <c r="C26" s="91"/>
    </row>
    <row r="27" spans="1:11">
      <c r="C27" s="91"/>
    </row>
    <row r="28" spans="1:11">
      <c r="C28" s="91"/>
    </row>
    <row r="29" spans="1:11">
      <c r="C29" s="91"/>
    </row>
    <row r="30" spans="1:1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</sheetData>
  <mergeCells count="33">
    <mergeCell ref="A1:A2"/>
    <mergeCell ref="D18:F18"/>
    <mergeCell ref="I4:K4"/>
    <mergeCell ref="D15:F15"/>
    <mergeCell ref="B4:D4"/>
    <mergeCell ref="I3:K3"/>
    <mergeCell ref="B3:D3"/>
    <mergeCell ref="H9:H10"/>
    <mergeCell ref="J9:J10"/>
    <mergeCell ref="A8:D8"/>
    <mergeCell ref="B1:D2"/>
    <mergeCell ref="I9:I10"/>
    <mergeCell ref="K9:K10"/>
    <mergeCell ref="B5:D5"/>
    <mergeCell ref="A12:K12"/>
    <mergeCell ref="D14:F14"/>
    <mergeCell ref="D9:G10"/>
    <mergeCell ref="D23:F23"/>
    <mergeCell ref="D20:F20"/>
    <mergeCell ref="I6:K6"/>
    <mergeCell ref="D19:F19"/>
    <mergeCell ref="D17:F17"/>
    <mergeCell ref="D16:F16"/>
    <mergeCell ref="C9:C10"/>
    <mergeCell ref="I5:K5"/>
    <mergeCell ref="D22:F22"/>
    <mergeCell ref="D21:F21"/>
    <mergeCell ref="I7:K7"/>
    <mergeCell ref="D13:F13"/>
    <mergeCell ref="A9:A10"/>
    <mergeCell ref="A11:K11"/>
    <mergeCell ref="D24:F24"/>
    <mergeCell ref="B9:B10"/>
  </mergeCells>
  <hyperlinks>
    <hyperlink ref="H13" r:id="rId1" xr:uid="{44D317D5-DE01-41D6-9E9B-BCBB3B1FAB61}"/>
    <hyperlink ref="H14" r:id="rId2" xr:uid="{9D32363E-2DC6-47C7-85B0-2997988C982A}"/>
    <hyperlink ref="H15" r:id="rId3" xr:uid="{5C1B10CF-CB0F-4D8A-A080-FD937F3AF35E}"/>
    <hyperlink ref="H16" r:id="rId4" xr:uid="{A3AB3A32-1247-430B-852C-64A129A4B0F9}"/>
    <hyperlink ref="H17" r:id="rId5" xr:uid="{6405BE9B-7BCF-4A41-A84F-497F2404F278}"/>
    <hyperlink ref="H18" r:id="rId6" xr:uid="{2CC3FE7D-31ED-4818-8BA6-AC1C51D5B518}"/>
  </hyperlink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L55"/>
  <sheetViews>
    <sheetView topLeftCell="A13" zoomScale="85" zoomScaleNormal="85" workbookViewId="0">
      <selection activeCell="I17" sqref="I17"/>
    </sheetView>
  </sheetViews>
  <sheetFormatPr defaultColWidth="8.77734375" defaultRowHeight="15" outlineLevelRow="1"/>
  <cols>
    <col min="1" max="1" width="18.109375" style="35" bestFit="1" customWidth="1"/>
    <col min="2" max="2" width="16.77734375" style="35" bestFit="1" customWidth="1"/>
    <col min="3" max="3" width="56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64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65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9</v>
      </c>
      <c r="C6" s="69" t="s">
        <v>28</v>
      </c>
      <c r="D6" s="69">
        <v>0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9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23" t="s">
        <v>66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6"/>
    </row>
    <row r="13" spans="1:12" s="75" customFormat="1" ht="75" outlineLevel="1">
      <c r="A13" s="76" t="s">
        <v>67</v>
      </c>
      <c r="B13" s="77" t="s">
        <v>68</v>
      </c>
      <c r="C13" s="78" t="s">
        <v>364</v>
      </c>
      <c r="D13" s="124" t="s">
        <v>365</v>
      </c>
      <c r="E13" s="145"/>
      <c r="F13" s="146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60" outlineLevel="1">
      <c r="A14" s="76" t="s">
        <v>69</v>
      </c>
      <c r="B14" s="77" t="s">
        <v>70</v>
      </c>
      <c r="C14" s="78" t="s">
        <v>71</v>
      </c>
      <c r="D14" s="124" t="s">
        <v>72</v>
      </c>
      <c r="E14" s="145"/>
      <c r="F14" s="146"/>
      <c r="G14" s="77"/>
      <c r="H14" s="98" t="s">
        <v>361</v>
      </c>
      <c r="I14" s="79">
        <v>46267</v>
      </c>
      <c r="J14" s="78" t="s">
        <v>360</v>
      </c>
      <c r="K14" s="78"/>
    </row>
    <row r="15" spans="1:12" s="75" customFormat="1" ht="45" outlineLevel="1">
      <c r="A15" s="76" t="s">
        <v>73</v>
      </c>
      <c r="B15" s="77" t="s">
        <v>74</v>
      </c>
      <c r="C15" s="78" t="s">
        <v>75</v>
      </c>
      <c r="D15" s="124" t="s">
        <v>76</v>
      </c>
      <c r="E15" s="145"/>
      <c r="F15" s="146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90" outlineLevel="1">
      <c r="A16" s="76" t="s">
        <v>77</v>
      </c>
      <c r="B16" s="77" t="s">
        <v>78</v>
      </c>
      <c r="C16" s="78" t="s">
        <v>79</v>
      </c>
      <c r="D16" s="124" t="s">
        <v>80</v>
      </c>
      <c r="E16" s="145"/>
      <c r="F16" s="146"/>
      <c r="G16" s="77"/>
      <c r="H16" s="98" t="s">
        <v>361</v>
      </c>
      <c r="I16" s="79">
        <v>46267</v>
      </c>
      <c r="J16" s="78" t="s">
        <v>360</v>
      </c>
      <c r="K16" s="78"/>
    </row>
    <row r="17" spans="1:11" s="75" customFormat="1" ht="60" outlineLevel="1">
      <c r="A17" s="76" t="s">
        <v>81</v>
      </c>
      <c r="B17" s="77" t="s">
        <v>82</v>
      </c>
      <c r="C17" s="78" t="s">
        <v>83</v>
      </c>
      <c r="D17" s="124" t="s">
        <v>84</v>
      </c>
      <c r="E17" s="145"/>
      <c r="F17" s="146"/>
      <c r="G17" s="77"/>
      <c r="H17" s="98" t="s">
        <v>361</v>
      </c>
      <c r="I17" s="79" t="s">
        <v>383</v>
      </c>
      <c r="J17" s="78" t="s">
        <v>360</v>
      </c>
      <c r="K17" s="78" t="s">
        <v>366</v>
      </c>
    </row>
    <row r="18" spans="1:11" s="75" customFormat="1" ht="60" outlineLevel="1">
      <c r="A18" s="76" t="s">
        <v>85</v>
      </c>
      <c r="B18" s="77" t="s">
        <v>86</v>
      </c>
      <c r="C18" s="78" t="s">
        <v>367</v>
      </c>
      <c r="D18" s="124" t="s">
        <v>87</v>
      </c>
      <c r="E18" s="145"/>
      <c r="F18" s="146"/>
      <c r="G18" s="77"/>
      <c r="H18" s="98" t="s">
        <v>361</v>
      </c>
      <c r="I18" s="79">
        <v>46267</v>
      </c>
      <c r="J18" s="78" t="s">
        <v>360</v>
      </c>
      <c r="K18" s="78"/>
    </row>
    <row r="19" spans="1:11" s="75" customFormat="1" ht="45" outlineLevel="1">
      <c r="A19" s="76" t="s">
        <v>88</v>
      </c>
      <c r="B19" s="77" t="s">
        <v>89</v>
      </c>
      <c r="C19" s="78" t="s">
        <v>90</v>
      </c>
      <c r="D19" s="124" t="s">
        <v>91</v>
      </c>
      <c r="E19" s="141"/>
      <c r="F19" s="141"/>
      <c r="G19" s="77"/>
      <c r="H19" s="98" t="s">
        <v>361</v>
      </c>
      <c r="I19" s="79">
        <v>46267</v>
      </c>
      <c r="J19" s="78" t="s">
        <v>360</v>
      </c>
      <c r="K19" s="78"/>
    </row>
    <row r="20" spans="1:11" s="75" customFormat="1" ht="45" outlineLevel="1">
      <c r="A20" s="76" t="s">
        <v>92</v>
      </c>
      <c r="B20" s="77" t="s">
        <v>93</v>
      </c>
      <c r="C20" s="78" t="s">
        <v>94</v>
      </c>
      <c r="D20" s="124" t="s">
        <v>95</v>
      </c>
      <c r="E20" s="141"/>
      <c r="F20" s="141"/>
      <c r="G20" s="77"/>
      <c r="H20" s="98" t="s">
        <v>361</v>
      </c>
      <c r="I20" s="79">
        <v>46267</v>
      </c>
      <c r="J20" s="78" t="s">
        <v>360</v>
      </c>
      <c r="K20" s="78"/>
    </row>
    <row r="21" spans="1:11" s="75" customFormat="1" ht="60" outlineLevel="1">
      <c r="A21" s="76" t="s">
        <v>96</v>
      </c>
      <c r="B21" s="77" t="s">
        <v>97</v>
      </c>
      <c r="C21" s="78" t="s">
        <v>98</v>
      </c>
      <c r="D21" s="124" t="s">
        <v>368</v>
      </c>
      <c r="E21" s="141"/>
      <c r="F21" s="141"/>
      <c r="G21" s="77"/>
      <c r="H21" s="98" t="s">
        <v>361</v>
      </c>
      <c r="I21" s="79">
        <v>46267</v>
      </c>
      <c r="J21" s="78" t="s">
        <v>360</v>
      </c>
      <c r="K21" s="78"/>
    </row>
    <row r="22" spans="1:11" s="75" customFormat="1" ht="15" customHeight="1" outlineLevel="1">
      <c r="A22" s="80"/>
      <c r="B22" s="81"/>
      <c r="C22" s="82"/>
      <c r="D22" s="118"/>
      <c r="E22" s="119"/>
      <c r="F22" s="119"/>
      <c r="G22" s="81"/>
      <c r="H22" s="81"/>
      <c r="I22" s="85"/>
      <c r="J22" s="82"/>
      <c r="K22" s="82"/>
    </row>
    <row r="23" spans="1:11" s="75" customFormat="1" ht="15" customHeight="1" outlineLevel="1">
      <c r="A23" s="80"/>
      <c r="B23" s="81"/>
      <c r="C23" s="82"/>
      <c r="D23" s="118"/>
      <c r="E23" s="119"/>
      <c r="F23" s="119"/>
      <c r="G23" s="81"/>
      <c r="H23" s="81"/>
      <c r="I23" s="85"/>
      <c r="J23" s="82"/>
      <c r="K23" s="82"/>
    </row>
    <row r="24" spans="1:11" s="75" customFormat="1" ht="15" customHeight="1" outlineLevel="1">
      <c r="A24" s="80"/>
      <c r="B24" s="81"/>
      <c r="C24" s="82"/>
      <c r="D24" s="118"/>
      <c r="E24" s="119"/>
      <c r="F24" s="119"/>
      <c r="G24" s="81"/>
      <c r="H24" s="81"/>
      <c r="I24" s="85"/>
      <c r="J24" s="82"/>
      <c r="K24" s="82"/>
    </row>
    <row r="25" spans="1:11" s="75" customFormat="1" ht="15" customHeight="1" outlineLevel="1">
      <c r="A25" s="80"/>
      <c r="B25" s="81"/>
      <c r="C25" s="82"/>
      <c r="D25" s="118"/>
      <c r="E25" s="119"/>
      <c r="F25" s="119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8"/>
      <c r="E26" s="140"/>
      <c r="F26" s="140"/>
      <c r="G26" s="81"/>
      <c r="H26" s="81"/>
      <c r="I26" s="85"/>
      <c r="J26" s="82"/>
      <c r="K26" s="82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5">
    <mergeCell ref="B1:D2"/>
    <mergeCell ref="K9:K10"/>
    <mergeCell ref="A9:A10"/>
    <mergeCell ref="D22:F22"/>
    <mergeCell ref="D21:F21"/>
    <mergeCell ref="I7:K7"/>
    <mergeCell ref="A1:A2"/>
    <mergeCell ref="B4:D4"/>
    <mergeCell ref="D17:F17"/>
    <mergeCell ref="I3:K3"/>
    <mergeCell ref="D16:F16"/>
    <mergeCell ref="C9:C10"/>
    <mergeCell ref="I5:K5"/>
    <mergeCell ref="D13:F13"/>
    <mergeCell ref="A8:D8"/>
    <mergeCell ref="H9:H10"/>
    <mergeCell ref="I6:K6"/>
    <mergeCell ref="B3:D3"/>
    <mergeCell ref="D19:F19"/>
    <mergeCell ref="I9:I10"/>
    <mergeCell ref="D18:F18"/>
    <mergeCell ref="I4:K4"/>
    <mergeCell ref="D15:F15"/>
    <mergeCell ref="B5:D5"/>
    <mergeCell ref="A12:K12"/>
    <mergeCell ref="D14:F14"/>
    <mergeCell ref="D9:G10"/>
    <mergeCell ref="J9:J10"/>
    <mergeCell ref="A11:K11"/>
    <mergeCell ref="B9:B10"/>
    <mergeCell ref="D26:F26"/>
    <mergeCell ref="D20:F20"/>
    <mergeCell ref="D25:F25"/>
    <mergeCell ref="D24:F24"/>
    <mergeCell ref="D23:F23"/>
  </mergeCells>
  <pageMargins left="0.7" right="0.7" top="0.75" bottom="0.75" header="0.511811023622047" footer="0.511811023622047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55"/>
  <sheetViews>
    <sheetView topLeftCell="A7" zoomScale="85" zoomScaleNormal="85" workbookViewId="0">
      <selection activeCell="I15" sqref="I15"/>
    </sheetView>
  </sheetViews>
  <sheetFormatPr defaultColWidth="8.77734375" defaultRowHeight="15" outlineLevelRow="1"/>
  <cols>
    <col min="1" max="1" width="18.109375" style="35" bestFit="1" customWidth="1"/>
    <col min="2" max="2" width="18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99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100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10</v>
      </c>
      <c r="C6" s="69" t="s">
        <v>28</v>
      </c>
      <c r="D6" s="69">
        <v>0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10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23" t="s">
        <v>101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6"/>
    </row>
    <row r="13" spans="1:12" s="75" customFormat="1" ht="60" outlineLevel="1">
      <c r="A13" s="76" t="s">
        <v>102</v>
      </c>
      <c r="B13" s="77" t="s">
        <v>103</v>
      </c>
      <c r="C13" s="78" t="s">
        <v>104</v>
      </c>
      <c r="D13" s="124" t="s">
        <v>369</v>
      </c>
      <c r="E13" s="145"/>
      <c r="F13" s="146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45" outlineLevel="1">
      <c r="A14" s="100" t="s">
        <v>105</v>
      </c>
      <c r="B14" s="77" t="s">
        <v>106</v>
      </c>
      <c r="C14" s="78" t="s">
        <v>107</v>
      </c>
      <c r="D14" s="154" t="s">
        <v>108</v>
      </c>
      <c r="E14" s="145"/>
      <c r="F14" s="146"/>
      <c r="G14" s="102"/>
      <c r="H14" s="98" t="s">
        <v>361</v>
      </c>
      <c r="I14" s="103">
        <v>46267</v>
      </c>
      <c r="J14" s="101" t="s">
        <v>360</v>
      </c>
      <c r="K14" s="101"/>
    </row>
    <row r="15" spans="1:12" s="75" customFormat="1" ht="105" outlineLevel="1">
      <c r="A15" s="76" t="s">
        <v>109</v>
      </c>
      <c r="B15" s="77" t="s">
        <v>110</v>
      </c>
      <c r="C15" s="78" t="s">
        <v>111</v>
      </c>
      <c r="D15" s="124" t="s">
        <v>112</v>
      </c>
      <c r="E15" s="145"/>
      <c r="F15" s="146"/>
      <c r="G15" s="77"/>
      <c r="H15" s="98" t="s">
        <v>361</v>
      </c>
      <c r="I15" s="79">
        <v>46267</v>
      </c>
      <c r="J15" s="101" t="s">
        <v>360</v>
      </c>
      <c r="K15" s="78"/>
    </row>
    <row r="16" spans="1:12" s="75" customFormat="1" ht="75" outlineLevel="1">
      <c r="A16" s="100" t="s">
        <v>113</v>
      </c>
      <c r="B16" s="77" t="s">
        <v>114</v>
      </c>
      <c r="C16" s="78" t="s">
        <v>115</v>
      </c>
      <c r="D16" s="154" t="s">
        <v>116</v>
      </c>
      <c r="E16" s="145"/>
      <c r="F16" s="146"/>
      <c r="G16" s="102"/>
      <c r="H16" s="98" t="s">
        <v>361</v>
      </c>
      <c r="I16" s="103">
        <v>46267</v>
      </c>
      <c r="J16" s="101" t="s">
        <v>360</v>
      </c>
      <c r="K16" s="101"/>
    </row>
    <row r="17" spans="1:11" s="75" customFormat="1" ht="75" outlineLevel="1">
      <c r="A17" s="76" t="s">
        <v>117</v>
      </c>
      <c r="B17" s="77" t="s">
        <v>118</v>
      </c>
      <c r="C17" s="78" t="s">
        <v>119</v>
      </c>
      <c r="D17" s="124" t="s">
        <v>120</v>
      </c>
      <c r="E17" s="145"/>
      <c r="F17" s="146"/>
      <c r="G17" s="77"/>
      <c r="H17" s="98" t="s">
        <v>361</v>
      </c>
      <c r="I17" s="79">
        <v>46267</v>
      </c>
      <c r="J17" s="101" t="s">
        <v>360</v>
      </c>
      <c r="K17" s="78"/>
    </row>
    <row r="18" spans="1:11" ht="90">
      <c r="A18" s="76" t="s">
        <v>121</v>
      </c>
      <c r="B18" s="77" t="s">
        <v>122</v>
      </c>
      <c r="C18" s="78" t="s">
        <v>123</v>
      </c>
      <c r="D18" s="124" t="s">
        <v>124</v>
      </c>
      <c r="E18" s="145"/>
      <c r="F18" s="146"/>
      <c r="G18" s="77"/>
      <c r="H18" s="98" t="s">
        <v>361</v>
      </c>
      <c r="I18" s="86">
        <v>46267</v>
      </c>
      <c r="J18" s="101" t="s">
        <v>360</v>
      </c>
      <c r="K18" s="78"/>
    </row>
    <row r="19" spans="1:11" ht="45">
      <c r="A19" s="76" t="s">
        <v>125</v>
      </c>
      <c r="B19" s="77" t="s">
        <v>126</v>
      </c>
      <c r="C19" s="78" t="s">
        <v>127</v>
      </c>
      <c r="D19" s="124" t="s">
        <v>128</v>
      </c>
      <c r="E19" s="153"/>
      <c r="F19" s="153"/>
      <c r="G19" s="77"/>
      <c r="H19" s="98" t="s">
        <v>361</v>
      </c>
      <c r="I19" s="86">
        <v>46267</v>
      </c>
      <c r="J19" s="101" t="s">
        <v>360</v>
      </c>
      <c r="K19" s="78"/>
    </row>
    <row r="20" spans="1:11" ht="45">
      <c r="A20" s="76" t="s">
        <v>129</v>
      </c>
      <c r="B20" s="77" t="s">
        <v>130</v>
      </c>
      <c r="C20" s="78" t="s">
        <v>131</v>
      </c>
      <c r="D20" s="124" t="s">
        <v>132</v>
      </c>
      <c r="E20" s="153"/>
      <c r="F20" s="153"/>
      <c r="G20" s="77"/>
      <c r="H20" s="98" t="s">
        <v>361</v>
      </c>
      <c r="I20" s="86">
        <v>46267</v>
      </c>
      <c r="J20" s="101" t="s">
        <v>360</v>
      </c>
      <c r="K20" s="78"/>
    </row>
    <row r="21" spans="1:11" ht="60">
      <c r="A21" s="76" t="s">
        <v>133</v>
      </c>
      <c r="B21" s="77" t="s">
        <v>134</v>
      </c>
      <c r="C21" s="78" t="s">
        <v>370</v>
      </c>
      <c r="D21" s="124" t="s">
        <v>371</v>
      </c>
      <c r="E21" s="153"/>
      <c r="F21" s="153"/>
      <c r="G21" s="77"/>
      <c r="H21" s="98" t="s">
        <v>361</v>
      </c>
      <c r="I21" s="86">
        <v>46267</v>
      </c>
      <c r="J21" s="101" t="s">
        <v>360</v>
      </c>
      <c r="K21" s="78"/>
    </row>
    <row r="22" spans="1:11" ht="75">
      <c r="A22" s="76" t="s">
        <v>135</v>
      </c>
      <c r="B22" s="77" t="s">
        <v>136</v>
      </c>
      <c r="C22" s="78" t="s">
        <v>137</v>
      </c>
      <c r="D22" s="124" t="s">
        <v>138</v>
      </c>
      <c r="E22" s="153"/>
      <c r="F22" s="153"/>
      <c r="G22" s="77"/>
      <c r="H22" s="98" t="s">
        <v>361</v>
      </c>
      <c r="I22" s="86">
        <v>46267</v>
      </c>
      <c r="J22" s="101" t="s">
        <v>360</v>
      </c>
      <c r="K22" s="78"/>
    </row>
    <row r="23" spans="1:11" ht="15" customHeight="1">
      <c r="A23" s="80"/>
      <c r="B23" s="81"/>
      <c r="C23" s="82"/>
      <c r="D23" s="118"/>
      <c r="E23" s="140"/>
      <c r="F23" s="140"/>
      <c r="G23" s="81"/>
      <c r="H23" s="81"/>
      <c r="I23" s="85"/>
      <c r="J23" s="82"/>
      <c r="K23" s="82"/>
    </row>
    <row r="24" spans="1:11" ht="15" customHeight="1">
      <c r="A24" s="80"/>
      <c r="B24" s="81"/>
      <c r="C24" s="82"/>
      <c r="D24" s="118"/>
      <c r="E24" s="140"/>
      <c r="F24" s="140"/>
      <c r="G24" s="81"/>
      <c r="H24" s="81"/>
      <c r="I24" s="85"/>
      <c r="J24" s="82"/>
      <c r="K24" s="82"/>
    </row>
    <row r="25" spans="1:11" ht="15" customHeight="1">
      <c r="A25" s="80"/>
      <c r="B25" s="81"/>
      <c r="C25" s="82"/>
      <c r="D25" s="118"/>
      <c r="E25" s="140"/>
      <c r="F25" s="140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8"/>
      <c r="E26" s="140"/>
      <c r="F26" s="140"/>
      <c r="G26" s="81"/>
      <c r="H26" s="81"/>
      <c r="I26" s="85"/>
      <c r="J26" s="82"/>
      <c r="K26" s="82"/>
    </row>
    <row r="27" spans="1:11" ht="15" customHeight="1">
      <c r="A27" s="80"/>
      <c r="B27" s="81"/>
      <c r="C27" s="82"/>
      <c r="D27" s="118"/>
      <c r="E27" s="140"/>
      <c r="F27" s="140"/>
      <c r="G27" s="81"/>
      <c r="H27" s="81"/>
      <c r="I27" s="85"/>
      <c r="J27" s="82"/>
      <c r="K27" s="82"/>
    </row>
    <row r="28" spans="1:11" ht="15" customHeight="1">
      <c r="A28" s="80"/>
      <c r="B28" s="81"/>
      <c r="C28" s="82"/>
      <c r="D28" s="118"/>
      <c r="E28" s="140"/>
      <c r="F28" s="140"/>
      <c r="G28" s="81"/>
      <c r="H28" s="81"/>
      <c r="I28" s="85"/>
      <c r="J28" s="82"/>
      <c r="K28" s="82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7">
    <mergeCell ref="A1:A2"/>
    <mergeCell ref="I6:K6"/>
    <mergeCell ref="B3:D3"/>
    <mergeCell ref="D19:F19"/>
    <mergeCell ref="B1:D2"/>
    <mergeCell ref="I9:I10"/>
    <mergeCell ref="K9:K10"/>
    <mergeCell ref="I7:K7"/>
    <mergeCell ref="I3:K3"/>
    <mergeCell ref="D16:F16"/>
    <mergeCell ref="C9:C10"/>
    <mergeCell ref="H9:H10"/>
    <mergeCell ref="J9:J10"/>
    <mergeCell ref="A11:K11"/>
    <mergeCell ref="D17:F17"/>
    <mergeCell ref="B9:B10"/>
    <mergeCell ref="D28:F28"/>
    <mergeCell ref="I5:K5"/>
    <mergeCell ref="D18:F18"/>
    <mergeCell ref="I4:K4"/>
    <mergeCell ref="D25:F25"/>
    <mergeCell ref="D15:F15"/>
    <mergeCell ref="D24:F24"/>
    <mergeCell ref="B5:D5"/>
    <mergeCell ref="A12:K12"/>
    <mergeCell ref="D14:F14"/>
    <mergeCell ref="D9:G10"/>
    <mergeCell ref="D23:F23"/>
    <mergeCell ref="B4:D4"/>
    <mergeCell ref="D13:F13"/>
    <mergeCell ref="A8:D8"/>
    <mergeCell ref="D27:F27"/>
    <mergeCell ref="D26:F26"/>
    <mergeCell ref="D20:F20"/>
    <mergeCell ref="A9:A10"/>
    <mergeCell ref="D22:F22"/>
    <mergeCell ref="D21:F2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55"/>
  <sheetViews>
    <sheetView topLeftCell="A4" zoomScale="85" zoomScaleNormal="85" workbookViewId="0">
      <selection activeCell="D7" sqref="D7"/>
    </sheetView>
  </sheetViews>
  <sheetFormatPr defaultColWidth="8.77734375" defaultRowHeight="15" outlineLevelRow="1"/>
  <cols>
    <col min="1" max="1" width="18.109375" style="35" bestFit="1" customWidth="1"/>
    <col min="2" max="2" width="17.6640625" style="35" bestFit="1" customWidth="1"/>
    <col min="3" max="3" width="46.5546875" style="35" bestFit="1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139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140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v>2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8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23" t="s">
        <v>141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6"/>
    </row>
    <row r="13" spans="1:12" s="75" customFormat="1" ht="45" outlineLevel="1">
      <c r="A13" s="76" t="s">
        <v>142</v>
      </c>
      <c r="B13" s="77" t="s">
        <v>143</v>
      </c>
      <c r="C13" s="78" t="s">
        <v>144</v>
      </c>
      <c r="D13" s="124" t="s">
        <v>145</v>
      </c>
      <c r="E13" s="145"/>
      <c r="F13" s="146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75" outlineLevel="1">
      <c r="A14" s="100" t="s">
        <v>146</v>
      </c>
      <c r="B14" s="77" t="s">
        <v>147</v>
      </c>
      <c r="C14" s="78" t="s">
        <v>148</v>
      </c>
      <c r="D14" s="154" t="s">
        <v>149</v>
      </c>
      <c r="E14" s="145"/>
      <c r="F14" s="146"/>
      <c r="G14" s="102"/>
      <c r="H14" s="98" t="s">
        <v>361</v>
      </c>
      <c r="I14" s="103">
        <v>46267</v>
      </c>
      <c r="J14" s="101" t="s">
        <v>372</v>
      </c>
      <c r="K14" s="101"/>
    </row>
    <row r="15" spans="1:12" s="75" customFormat="1" ht="60" outlineLevel="1">
      <c r="A15" s="76" t="s">
        <v>150</v>
      </c>
      <c r="B15" s="77" t="s">
        <v>151</v>
      </c>
      <c r="C15" s="78" t="s">
        <v>152</v>
      </c>
      <c r="D15" s="124" t="s">
        <v>153</v>
      </c>
      <c r="E15" s="145"/>
      <c r="F15" s="146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75" outlineLevel="1">
      <c r="A16" s="100" t="s">
        <v>154</v>
      </c>
      <c r="B16" s="77" t="s">
        <v>155</v>
      </c>
      <c r="C16" s="78" t="s">
        <v>363</v>
      </c>
      <c r="D16" s="154" t="s">
        <v>156</v>
      </c>
      <c r="E16" s="145"/>
      <c r="F16" s="146"/>
      <c r="G16" s="102"/>
      <c r="H16" s="98" t="s">
        <v>361</v>
      </c>
      <c r="I16" s="103">
        <v>46267</v>
      </c>
      <c r="J16" s="78" t="s">
        <v>360</v>
      </c>
      <c r="K16" s="101"/>
    </row>
    <row r="17" spans="1:11" s="75" customFormat="1" ht="75" outlineLevel="1">
      <c r="A17" s="76" t="s">
        <v>157</v>
      </c>
      <c r="B17" s="77" t="s">
        <v>158</v>
      </c>
      <c r="C17" s="78" t="s">
        <v>159</v>
      </c>
      <c r="D17" s="124" t="s">
        <v>160</v>
      </c>
      <c r="E17" s="145"/>
      <c r="F17" s="146"/>
      <c r="G17" s="77"/>
      <c r="H17" s="98" t="s">
        <v>361</v>
      </c>
      <c r="I17" s="79">
        <v>46267</v>
      </c>
      <c r="J17" s="78" t="s">
        <v>360</v>
      </c>
      <c r="K17" s="78"/>
    </row>
    <row r="18" spans="1:11" ht="75">
      <c r="A18" s="76" t="s">
        <v>161</v>
      </c>
      <c r="B18" s="77" t="s">
        <v>162</v>
      </c>
      <c r="C18" s="78" t="s">
        <v>163</v>
      </c>
      <c r="D18" s="124" t="s">
        <v>164</v>
      </c>
      <c r="E18" s="145"/>
      <c r="F18" s="146"/>
      <c r="G18" s="77"/>
      <c r="H18" s="98" t="s">
        <v>361</v>
      </c>
      <c r="I18" s="86">
        <v>46267</v>
      </c>
      <c r="J18" s="78" t="s">
        <v>360</v>
      </c>
      <c r="K18" s="78"/>
    </row>
    <row r="19" spans="1:11" ht="60">
      <c r="A19" s="76" t="s">
        <v>165</v>
      </c>
      <c r="B19" s="77" t="s">
        <v>166</v>
      </c>
      <c r="C19" s="78" t="s">
        <v>167</v>
      </c>
      <c r="D19" s="124" t="s">
        <v>168</v>
      </c>
      <c r="E19" s="153"/>
      <c r="F19" s="153"/>
      <c r="G19" s="77"/>
      <c r="H19" s="98" t="s">
        <v>361</v>
      </c>
      <c r="I19" s="86">
        <v>46267</v>
      </c>
      <c r="J19" s="78" t="s">
        <v>360</v>
      </c>
      <c r="K19" s="78" t="s">
        <v>373</v>
      </c>
    </row>
    <row r="20" spans="1:11" ht="60">
      <c r="A20" s="76" t="s">
        <v>169</v>
      </c>
      <c r="B20" s="77" t="s">
        <v>170</v>
      </c>
      <c r="C20" s="78" t="s">
        <v>171</v>
      </c>
      <c r="D20" s="124" t="s">
        <v>172</v>
      </c>
      <c r="E20" s="153"/>
      <c r="F20" s="153"/>
      <c r="G20" s="77"/>
      <c r="H20" s="98" t="s">
        <v>361</v>
      </c>
      <c r="I20" s="86">
        <v>46267</v>
      </c>
      <c r="J20" s="78" t="s">
        <v>372</v>
      </c>
      <c r="K20" s="78"/>
    </row>
    <row r="21" spans="1:11" ht="15" customHeight="1">
      <c r="A21" s="80"/>
      <c r="B21" s="81"/>
      <c r="C21" s="82"/>
      <c r="D21" s="118"/>
      <c r="E21" s="140"/>
      <c r="F21" s="140"/>
      <c r="G21" s="81"/>
      <c r="H21" s="104"/>
      <c r="I21" s="85"/>
      <c r="J21" s="82"/>
      <c r="K21" s="82"/>
    </row>
    <row r="22" spans="1:11" ht="15" customHeight="1">
      <c r="A22" s="80"/>
      <c r="B22" s="81"/>
      <c r="C22" s="82"/>
      <c r="D22" s="118"/>
      <c r="E22" s="140"/>
      <c r="F22" s="140"/>
      <c r="G22" s="81"/>
      <c r="H22" s="81"/>
      <c r="I22" s="85"/>
      <c r="J22" s="82"/>
      <c r="K22" s="82"/>
    </row>
    <row r="23" spans="1:11" ht="15" customHeight="1">
      <c r="A23" s="80"/>
      <c r="B23" s="81"/>
      <c r="C23" s="82"/>
      <c r="D23" s="118"/>
      <c r="E23" s="140"/>
      <c r="F23" s="140"/>
      <c r="G23" s="81"/>
      <c r="H23" s="81"/>
      <c r="I23" s="85"/>
      <c r="J23" s="82"/>
      <c r="K23" s="82"/>
    </row>
    <row r="24" spans="1:11" ht="15" customHeight="1">
      <c r="A24" s="80"/>
      <c r="B24" s="81"/>
      <c r="C24" s="82"/>
      <c r="D24" s="118"/>
      <c r="E24" s="140"/>
      <c r="F24" s="140"/>
      <c r="G24" s="81"/>
      <c r="H24" s="81"/>
      <c r="I24" s="85"/>
      <c r="J24" s="82"/>
      <c r="K24" s="82"/>
    </row>
    <row r="25" spans="1:11" ht="15" customHeight="1">
      <c r="A25" s="80"/>
      <c r="B25" s="81"/>
      <c r="C25" s="82"/>
      <c r="D25" s="118"/>
      <c r="E25" s="140"/>
      <c r="F25" s="140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8"/>
      <c r="E26" s="140"/>
      <c r="F26" s="140"/>
      <c r="G26" s="81"/>
      <c r="H26" s="81"/>
      <c r="I26" s="85"/>
      <c r="J26" s="82"/>
      <c r="K26" s="82"/>
    </row>
    <row r="27" spans="1:11" ht="15" customHeight="1">
      <c r="A27" s="80"/>
      <c r="B27" s="81"/>
      <c r="C27" s="82"/>
      <c r="D27" s="118"/>
      <c r="E27" s="140"/>
      <c r="F27" s="140"/>
      <c r="G27" s="81"/>
      <c r="H27" s="81"/>
      <c r="I27" s="85"/>
      <c r="J27" s="82"/>
      <c r="K27" s="82"/>
    </row>
    <row r="28" spans="1:11" ht="15" customHeight="1">
      <c r="A28" s="80"/>
      <c r="B28" s="81"/>
      <c r="C28" s="82"/>
      <c r="D28" s="118"/>
      <c r="E28" s="140"/>
      <c r="F28" s="140"/>
      <c r="G28" s="81"/>
      <c r="H28" s="81"/>
      <c r="I28" s="85"/>
      <c r="J28" s="82"/>
      <c r="K28" s="82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7">
    <mergeCell ref="A1:A2"/>
    <mergeCell ref="I6:K6"/>
    <mergeCell ref="B3:D3"/>
    <mergeCell ref="D19:F19"/>
    <mergeCell ref="B1:D2"/>
    <mergeCell ref="I9:I10"/>
    <mergeCell ref="K9:K10"/>
    <mergeCell ref="I7:K7"/>
    <mergeCell ref="I3:K3"/>
    <mergeCell ref="D16:F16"/>
    <mergeCell ref="C9:C10"/>
    <mergeCell ref="H9:H10"/>
    <mergeCell ref="J9:J10"/>
    <mergeCell ref="A11:K11"/>
    <mergeCell ref="D17:F17"/>
    <mergeCell ref="B9:B10"/>
    <mergeCell ref="D28:F28"/>
    <mergeCell ref="I5:K5"/>
    <mergeCell ref="D18:F18"/>
    <mergeCell ref="I4:K4"/>
    <mergeCell ref="D25:F25"/>
    <mergeCell ref="D15:F15"/>
    <mergeCell ref="D24:F24"/>
    <mergeCell ref="B5:D5"/>
    <mergeCell ref="A12:K12"/>
    <mergeCell ref="D14:F14"/>
    <mergeCell ref="D9:G10"/>
    <mergeCell ref="D23:F23"/>
    <mergeCell ref="B4:D4"/>
    <mergeCell ref="D13:F13"/>
    <mergeCell ref="A8:D8"/>
    <mergeCell ref="D27:F27"/>
    <mergeCell ref="D26:F26"/>
    <mergeCell ref="D20:F20"/>
    <mergeCell ref="A9:A10"/>
    <mergeCell ref="D22:F22"/>
    <mergeCell ref="D21:F2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55"/>
  <sheetViews>
    <sheetView tabSelected="1" zoomScale="85" zoomScaleNormal="85" workbookViewId="0">
      <selection activeCell="I15" sqref="I15"/>
    </sheetView>
  </sheetViews>
  <sheetFormatPr defaultColWidth="8.77734375" defaultRowHeight="15" outlineLevelRow="1"/>
  <cols>
    <col min="1" max="1" width="18.109375" style="35" bestFit="1" customWidth="1"/>
    <col min="2" max="2" width="17.33203125" style="35" bestFit="1" customWidth="1"/>
    <col min="3" max="3" width="88" style="35" bestFit="1" customWidth="1"/>
    <col min="4" max="5" width="8.77734375" style="35"/>
    <col min="6" max="6" width="33.5546875" style="35" customWidth="1"/>
    <col min="7" max="7" width="18.44140625" style="35" hidden="1" customWidth="1"/>
    <col min="8" max="8" width="24" style="35" customWidth="1"/>
    <col min="9" max="9" width="17.21875" style="35" customWidth="1"/>
    <col min="10" max="10" width="8.33203125" style="84" bestFit="1" customWidth="1"/>
    <col min="11" max="11" width="17.88671875" style="35" bestFit="1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173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174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12</v>
      </c>
      <c r="C6" s="69" t="s">
        <v>28</v>
      </c>
      <c r="D6" s="69">
        <v>0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12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23" t="s">
        <v>175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6"/>
    </row>
    <row r="13" spans="1:12" s="75" customFormat="1" ht="60" outlineLevel="1">
      <c r="A13" s="76" t="s">
        <v>176</v>
      </c>
      <c r="B13" s="77" t="s">
        <v>177</v>
      </c>
      <c r="C13" s="78" t="s">
        <v>178</v>
      </c>
      <c r="D13" s="124" t="s">
        <v>179</v>
      </c>
      <c r="E13" s="145"/>
      <c r="F13" s="146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105" outlineLevel="1">
      <c r="A14" s="100" t="s">
        <v>180</v>
      </c>
      <c r="B14" s="77" t="s">
        <v>181</v>
      </c>
      <c r="C14" s="78" t="s">
        <v>182</v>
      </c>
      <c r="D14" s="154" t="s">
        <v>183</v>
      </c>
      <c r="E14" s="145"/>
      <c r="F14" s="146"/>
      <c r="G14" s="102"/>
      <c r="H14" s="98" t="s">
        <v>361</v>
      </c>
      <c r="I14" s="103" t="s">
        <v>385</v>
      </c>
      <c r="J14" s="101" t="s">
        <v>360</v>
      </c>
      <c r="K14" s="101" t="s">
        <v>374</v>
      </c>
    </row>
    <row r="15" spans="1:12" s="75" customFormat="1" ht="75" outlineLevel="1">
      <c r="A15" s="76" t="s">
        <v>184</v>
      </c>
      <c r="B15" s="77" t="s">
        <v>185</v>
      </c>
      <c r="C15" s="78" t="s">
        <v>186</v>
      </c>
      <c r="D15" s="124" t="s">
        <v>187</v>
      </c>
      <c r="E15" s="145"/>
      <c r="F15" s="146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45" outlineLevel="1">
      <c r="A16" s="100" t="s">
        <v>188</v>
      </c>
      <c r="B16" s="77" t="s">
        <v>189</v>
      </c>
      <c r="C16" s="78" t="s">
        <v>190</v>
      </c>
      <c r="D16" s="154" t="s">
        <v>191</v>
      </c>
      <c r="E16" s="145"/>
      <c r="F16" s="146"/>
      <c r="G16" s="102"/>
      <c r="H16" s="98" t="s">
        <v>361</v>
      </c>
      <c r="I16" s="103">
        <v>46267</v>
      </c>
      <c r="J16" s="101" t="s">
        <v>360</v>
      </c>
      <c r="K16" s="101"/>
    </row>
    <row r="17" spans="1:11" s="75" customFormat="1" ht="105" outlineLevel="1">
      <c r="A17" s="76" t="s">
        <v>192</v>
      </c>
      <c r="B17" s="77" t="s">
        <v>193</v>
      </c>
      <c r="C17" s="78" t="s">
        <v>194</v>
      </c>
      <c r="D17" s="124" t="s">
        <v>195</v>
      </c>
      <c r="E17" s="145"/>
      <c r="F17" s="146"/>
      <c r="G17" s="77"/>
      <c r="H17" s="98" t="s">
        <v>361</v>
      </c>
      <c r="I17" s="79" t="s">
        <v>383</v>
      </c>
      <c r="J17" s="78" t="s">
        <v>360</v>
      </c>
      <c r="K17" s="78" t="s">
        <v>375</v>
      </c>
    </row>
    <row r="18" spans="1:11" ht="45">
      <c r="A18" s="76" t="s">
        <v>196</v>
      </c>
      <c r="B18" s="77" t="s">
        <v>197</v>
      </c>
      <c r="C18" s="78" t="s">
        <v>198</v>
      </c>
      <c r="D18" s="124" t="s">
        <v>199</v>
      </c>
      <c r="E18" s="145"/>
      <c r="F18" s="146"/>
      <c r="G18" s="77"/>
      <c r="H18" s="98" t="s">
        <v>361</v>
      </c>
      <c r="I18" s="86">
        <v>46267</v>
      </c>
      <c r="J18" s="78" t="s">
        <v>360</v>
      </c>
      <c r="K18" s="78"/>
    </row>
    <row r="19" spans="1:11" ht="60">
      <c r="A19" s="76" t="s">
        <v>200</v>
      </c>
      <c r="B19" s="77" t="s">
        <v>201</v>
      </c>
      <c r="C19" s="78" t="s">
        <v>202</v>
      </c>
      <c r="D19" s="124" t="s">
        <v>203</v>
      </c>
      <c r="E19" s="153"/>
      <c r="F19" s="153"/>
      <c r="G19" s="77"/>
      <c r="H19" s="98" t="s">
        <v>361</v>
      </c>
      <c r="I19" s="86" t="s">
        <v>383</v>
      </c>
      <c r="J19" s="78" t="s">
        <v>360</v>
      </c>
      <c r="K19" s="78" t="s">
        <v>376</v>
      </c>
    </row>
    <row r="20" spans="1:11" ht="90">
      <c r="A20" s="76" t="s">
        <v>204</v>
      </c>
      <c r="B20" s="77" t="s">
        <v>205</v>
      </c>
      <c r="C20" s="78" t="s">
        <v>206</v>
      </c>
      <c r="D20" s="124" t="s">
        <v>207</v>
      </c>
      <c r="E20" s="153"/>
      <c r="F20" s="153"/>
      <c r="G20" s="77"/>
      <c r="H20" s="98" t="s">
        <v>361</v>
      </c>
      <c r="I20" s="86" t="s">
        <v>384</v>
      </c>
      <c r="J20" s="78" t="s">
        <v>360</v>
      </c>
      <c r="K20" s="78" t="s">
        <v>377</v>
      </c>
    </row>
    <row r="21" spans="1:11" ht="60">
      <c r="A21" s="76" t="s">
        <v>208</v>
      </c>
      <c r="B21" s="77" t="s">
        <v>209</v>
      </c>
      <c r="C21" s="78" t="s">
        <v>210</v>
      </c>
      <c r="D21" s="124" t="s">
        <v>211</v>
      </c>
      <c r="E21" s="153"/>
      <c r="F21" s="153"/>
      <c r="G21" s="77"/>
      <c r="H21" s="98" t="s">
        <v>361</v>
      </c>
      <c r="I21" s="86">
        <v>46267</v>
      </c>
      <c r="J21" s="78" t="s">
        <v>360</v>
      </c>
      <c r="K21" s="78"/>
    </row>
    <row r="22" spans="1:11" ht="60">
      <c r="A22" s="76" t="s">
        <v>212</v>
      </c>
      <c r="B22" s="77" t="s">
        <v>213</v>
      </c>
      <c r="C22" s="78" t="s">
        <v>214</v>
      </c>
      <c r="D22" s="124" t="s">
        <v>215</v>
      </c>
      <c r="E22" s="153"/>
      <c r="F22" s="153"/>
      <c r="G22" s="77"/>
      <c r="H22" s="98" t="s">
        <v>361</v>
      </c>
      <c r="I22" s="86">
        <v>46267</v>
      </c>
      <c r="J22" s="78" t="s">
        <v>360</v>
      </c>
      <c r="K22" s="78"/>
    </row>
    <row r="23" spans="1:11" ht="45">
      <c r="A23" s="76" t="s">
        <v>216</v>
      </c>
      <c r="B23" s="77" t="s">
        <v>217</v>
      </c>
      <c r="C23" s="78" t="s">
        <v>218</v>
      </c>
      <c r="D23" s="124" t="s">
        <v>219</v>
      </c>
      <c r="E23" s="153"/>
      <c r="F23" s="153"/>
      <c r="G23" s="77"/>
      <c r="H23" s="98" t="s">
        <v>361</v>
      </c>
      <c r="I23" s="86">
        <v>46267</v>
      </c>
      <c r="J23" s="78" t="s">
        <v>360</v>
      </c>
      <c r="K23" s="78"/>
    </row>
    <row r="24" spans="1:11" ht="30">
      <c r="A24" s="76" t="s">
        <v>220</v>
      </c>
      <c r="B24" s="77" t="s">
        <v>221</v>
      </c>
      <c r="C24" s="78" t="s">
        <v>222</v>
      </c>
      <c r="D24" s="124" t="s">
        <v>223</v>
      </c>
      <c r="E24" s="153"/>
      <c r="F24" s="153"/>
      <c r="G24" s="77"/>
      <c r="H24" s="98" t="s">
        <v>361</v>
      </c>
      <c r="I24" s="86">
        <v>46267</v>
      </c>
      <c r="J24" s="78" t="s">
        <v>360</v>
      </c>
      <c r="K24" s="78"/>
    </row>
    <row r="25" spans="1:11" ht="15" customHeight="1">
      <c r="A25" s="80"/>
      <c r="B25" s="81"/>
      <c r="C25" s="82"/>
      <c r="D25" s="118"/>
      <c r="E25" s="140"/>
      <c r="F25" s="140"/>
      <c r="G25" s="81"/>
      <c r="H25" s="81"/>
      <c r="I25" s="85"/>
      <c r="J25" s="82"/>
      <c r="K25" s="82"/>
    </row>
    <row r="26" spans="1:11" ht="15" customHeight="1">
      <c r="A26" s="80"/>
      <c r="B26" s="81"/>
      <c r="C26" s="82"/>
      <c r="D26" s="118"/>
      <c r="E26" s="140"/>
      <c r="F26" s="140"/>
      <c r="G26" s="81"/>
      <c r="H26" s="81"/>
      <c r="I26" s="85"/>
      <c r="J26" s="82"/>
      <c r="K26" s="82"/>
    </row>
    <row r="27" spans="1:11" ht="15" customHeight="1">
      <c r="A27" s="80"/>
      <c r="B27" s="81"/>
      <c r="C27" s="82"/>
      <c r="D27" s="118"/>
      <c r="E27" s="140"/>
      <c r="F27" s="140"/>
      <c r="G27" s="81"/>
      <c r="H27" s="81"/>
      <c r="I27" s="85"/>
      <c r="J27" s="82"/>
      <c r="K27" s="82"/>
    </row>
    <row r="28" spans="1:11" ht="15" customHeight="1">
      <c r="A28" s="80"/>
      <c r="B28" s="81"/>
      <c r="C28" s="82"/>
      <c r="D28" s="118"/>
      <c r="E28" s="140"/>
      <c r="F28" s="140"/>
      <c r="G28" s="81"/>
      <c r="H28" s="81"/>
      <c r="I28" s="85"/>
      <c r="J28" s="82"/>
      <c r="K28" s="82"/>
    </row>
    <row r="29" spans="1:11" ht="15" customHeight="1">
      <c r="A29" s="80"/>
      <c r="B29" s="81"/>
      <c r="C29" s="82"/>
      <c r="D29" s="118"/>
      <c r="E29" s="140"/>
      <c r="F29" s="140"/>
      <c r="G29" s="81"/>
      <c r="H29" s="81"/>
      <c r="I29" s="85"/>
      <c r="J29" s="82"/>
      <c r="K29" s="82"/>
    </row>
    <row r="30" spans="1:11" ht="15" customHeight="1">
      <c r="A30" s="80"/>
      <c r="B30" s="81"/>
      <c r="C30" s="82"/>
      <c r="D30" s="118"/>
      <c r="E30" s="140"/>
      <c r="F30" s="140"/>
      <c r="G30" s="81"/>
      <c r="H30" s="81"/>
      <c r="I30" s="85"/>
      <c r="J30" s="82"/>
      <c r="K30" s="82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9">
    <mergeCell ref="B1:D2"/>
    <mergeCell ref="K9:K10"/>
    <mergeCell ref="A9:A10"/>
    <mergeCell ref="D22:F22"/>
    <mergeCell ref="D21:F21"/>
    <mergeCell ref="I7:K7"/>
    <mergeCell ref="A1:A2"/>
    <mergeCell ref="I3:K3"/>
    <mergeCell ref="B3:D3"/>
    <mergeCell ref="D30:F30"/>
    <mergeCell ref="D25:F25"/>
    <mergeCell ref="D15:F15"/>
    <mergeCell ref="D24:F24"/>
    <mergeCell ref="B9:B10"/>
    <mergeCell ref="A12:K12"/>
    <mergeCell ref="D14:F14"/>
    <mergeCell ref="D29:F29"/>
    <mergeCell ref="D9:G10"/>
    <mergeCell ref="D23:F23"/>
    <mergeCell ref="D26:F26"/>
    <mergeCell ref="D20:F20"/>
    <mergeCell ref="D19:F19"/>
    <mergeCell ref="I9:I10"/>
    <mergeCell ref="D16:F16"/>
    <mergeCell ref="C9:C10"/>
    <mergeCell ref="D28:F28"/>
    <mergeCell ref="I5:K5"/>
    <mergeCell ref="D18:F18"/>
    <mergeCell ref="I4:K4"/>
    <mergeCell ref="B5:D5"/>
    <mergeCell ref="B4:D4"/>
    <mergeCell ref="I6:K6"/>
    <mergeCell ref="D13:F13"/>
    <mergeCell ref="A8:D8"/>
    <mergeCell ref="D27:F27"/>
    <mergeCell ref="H9:H10"/>
    <mergeCell ref="J9:J10"/>
    <mergeCell ref="A11:K11"/>
    <mergeCell ref="D17:F17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55"/>
  <sheetViews>
    <sheetView zoomScale="85" zoomScaleNormal="85" workbookViewId="0">
      <selection activeCell="A8" sqref="A8:D8"/>
    </sheetView>
  </sheetViews>
  <sheetFormatPr defaultColWidth="8.77734375" defaultRowHeight="15" outlineLevelRow="1"/>
  <cols>
    <col min="1" max="1" width="18.109375" style="35" bestFit="1" customWidth="1"/>
    <col min="2" max="2" width="17.7773437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224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225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v>0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6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23" t="s">
        <v>226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6"/>
    </row>
    <row r="13" spans="1:12" s="75" customFormat="1" ht="60" outlineLevel="1">
      <c r="A13" s="76" t="s">
        <v>227</v>
      </c>
      <c r="B13" s="77" t="s">
        <v>228</v>
      </c>
      <c r="C13" s="78" t="s">
        <v>229</v>
      </c>
      <c r="D13" s="124" t="s">
        <v>230</v>
      </c>
      <c r="E13" s="145"/>
      <c r="F13" s="146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60" outlineLevel="1">
      <c r="A14" s="100" t="s">
        <v>231</v>
      </c>
      <c r="B14" s="77" t="s">
        <v>232</v>
      </c>
      <c r="C14" s="78" t="s">
        <v>233</v>
      </c>
      <c r="D14" s="154" t="s">
        <v>234</v>
      </c>
      <c r="E14" s="145"/>
      <c r="F14" s="146"/>
      <c r="G14" s="102"/>
      <c r="H14" s="98" t="s">
        <v>361</v>
      </c>
      <c r="I14" s="103">
        <v>46267</v>
      </c>
      <c r="J14" s="101" t="s">
        <v>360</v>
      </c>
      <c r="K14" s="101"/>
    </row>
    <row r="15" spans="1:12" s="75" customFormat="1" ht="60" outlineLevel="1">
      <c r="A15" s="76" t="s">
        <v>235</v>
      </c>
      <c r="B15" s="77" t="s">
        <v>236</v>
      </c>
      <c r="C15" s="78" t="s">
        <v>237</v>
      </c>
      <c r="D15" s="124" t="s">
        <v>238</v>
      </c>
      <c r="E15" s="145"/>
      <c r="F15" s="146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75" outlineLevel="1">
      <c r="A16" s="100" t="s">
        <v>239</v>
      </c>
      <c r="B16" s="77" t="s">
        <v>240</v>
      </c>
      <c r="C16" s="78" t="s">
        <v>241</v>
      </c>
      <c r="D16" s="154" t="s">
        <v>242</v>
      </c>
      <c r="E16" s="145"/>
      <c r="F16" s="146"/>
      <c r="G16" s="102"/>
      <c r="H16" s="98" t="s">
        <v>361</v>
      </c>
      <c r="I16" s="103">
        <v>46267</v>
      </c>
      <c r="J16" s="101" t="s">
        <v>360</v>
      </c>
      <c r="K16" s="101" t="s">
        <v>378</v>
      </c>
    </row>
    <row r="17" spans="1:11" s="75" customFormat="1" ht="75" outlineLevel="1">
      <c r="A17" s="76" t="s">
        <v>243</v>
      </c>
      <c r="B17" s="77" t="s">
        <v>244</v>
      </c>
      <c r="C17" s="78" t="s">
        <v>245</v>
      </c>
      <c r="D17" s="124" t="s">
        <v>246</v>
      </c>
      <c r="E17" s="145"/>
      <c r="F17" s="146"/>
      <c r="G17" s="77"/>
      <c r="H17" s="98" t="s">
        <v>361</v>
      </c>
      <c r="I17" s="79">
        <v>46267</v>
      </c>
      <c r="J17" s="78" t="s">
        <v>360</v>
      </c>
      <c r="K17" s="78"/>
    </row>
    <row r="18" spans="1:11" ht="75">
      <c r="A18" s="76" t="s">
        <v>247</v>
      </c>
      <c r="B18" s="77" t="s">
        <v>248</v>
      </c>
      <c r="C18" s="78" t="s">
        <v>249</v>
      </c>
      <c r="D18" s="124" t="s">
        <v>250</v>
      </c>
      <c r="E18" s="153"/>
      <c r="F18" s="153"/>
      <c r="G18" s="77"/>
      <c r="H18" s="98" t="s">
        <v>361</v>
      </c>
      <c r="I18" s="86">
        <v>46267</v>
      </c>
      <c r="J18" s="78" t="s">
        <v>360</v>
      </c>
      <c r="K18" s="78" t="s">
        <v>379</v>
      </c>
    </row>
    <row r="19" spans="1:11">
      <c r="A19" s="80"/>
      <c r="B19" s="81"/>
      <c r="C19" s="82"/>
      <c r="D19" s="118"/>
      <c r="E19" s="140"/>
      <c r="F19" s="140"/>
      <c r="G19" s="81"/>
      <c r="H19" s="104"/>
      <c r="I19" s="85"/>
      <c r="J19" s="82"/>
      <c r="K19" s="82"/>
    </row>
    <row r="20" spans="1:11" ht="15" customHeight="1">
      <c r="A20" s="80"/>
      <c r="B20" s="81"/>
      <c r="C20" s="82"/>
      <c r="D20" s="118"/>
      <c r="E20" s="140"/>
      <c r="F20" s="140"/>
      <c r="G20" s="81"/>
      <c r="H20" s="81"/>
      <c r="I20" s="85"/>
      <c r="J20" s="82"/>
      <c r="K20" s="82"/>
    </row>
    <row r="21" spans="1:11" ht="15" customHeight="1">
      <c r="A21" s="80"/>
      <c r="B21" s="81"/>
      <c r="C21" s="82"/>
      <c r="D21" s="118"/>
      <c r="E21" s="140"/>
      <c r="F21" s="140"/>
      <c r="G21" s="81"/>
      <c r="H21" s="81"/>
      <c r="I21" s="85"/>
      <c r="J21" s="82"/>
      <c r="K21" s="82"/>
    </row>
    <row r="22" spans="1:11" ht="15" customHeight="1">
      <c r="A22" s="80"/>
      <c r="B22" s="81"/>
      <c r="C22" s="82"/>
      <c r="D22" s="118"/>
      <c r="E22" s="140"/>
      <c r="F22" s="140"/>
      <c r="G22" s="81"/>
      <c r="H22" s="81"/>
      <c r="I22" s="85"/>
      <c r="J22" s="82"/>
      <c r="K22" s="82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1">
    <mergeCell ref="D22:F22"/>
    <mergeCell ref="D21:F21"/>
    <mergeCell ref="I7:K7"/>
    <mergeCell ref="A1:A2"/>
    <mergeCell ref="D20:F20"/>
    <mergeCell ref="I6:K6"/>
    <mergeCell ref="B3:D3"/>
    <mergeCell ref="D19:F19"/>
    <mergeCell ref="B1:D2"/>
    <mergeCell ref="I9:I10"/>
    <mergeCell ref="K9:K10"/>
    <mergeCell ref="D18:F18"/>
    <mergeCell ref="I4:K4"/>
    <mergeCell ref="D15:F15"/>
    <mergeCell ref="B9:B10"/>
    <mergeCell ref="B5:D5"/>
    <mergeCell ref="D17:F17"/>
    <mergeCell ref="I3:K3"/>
    <mergeCell ref="D16:F16"/>
    <mergeCell ref="C9:C10"/>
    <mergeCell ref="I5:K5"/>
    <mergeCell ref="D13:F13"/>
    <mergeCell ref="A8:D8"/>
    <mergeCell ref="H9:H10"/>
    <mergeCell ref="J9:J10"/>
    <mergeCell ref="A11:K11"/>
    <mergeCell ref="A12:K12"/>
    <mergeCell ref="D14:F14"/>
    <mergeCell ref="D9:G10"/>
    <mergeCell ref="B4:D4"/>
    <mergeCell ref="A9:A1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L55"/>
  <sheetViews>
    <sheetView topLeftCell="A9" zoomScale="85" zoomScaleNormal="85" workbookViewId="0">
      <selection activeCell="I17" sqref="I17"/>
    </sheetView>
  </sheetViews>
  <sheetFormatPr defaultColWidth="8.77734375" defaultRowHeight="15" outlineLevelRow="1"/>
  <cols>
    <col min="1" max="1" width="18.109375" style="35" bestFit="1" customWidth="1"/>
    <col min="2" max="2" width="17.8867187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251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252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6</v>
      </c>
      <c r="C6" s="69" t="s">
        <v>28</v>
      </c>
      <c r="D6" s="69">
        <v>0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6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23" t="s">
        <v>253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6"/>
    </row>
    <row r="13" spans="1:12" s="75" customFormat="1" ht="45" outlineLevel="1">
      <c r="A13" s="76" t="s">
        <v>254</v>
      </c>
      <c r="B13" s="77" t="s">
        <v>255</v>
      </c>
      <c r="C13" s="78" t="s">
        <v>256</v>
      </c>
      <c r="D13" s="124" t="s">
        <v>257</v>
      </c>
      <c r="E13" s="145"/>
      <c r="F13" s="146"/>
      <c r="G13" s="77"/>
      <c r="H13" s="98" t="s">
        <v>361</v>
      </c>
      <c r="I13" s="79">
        <v>46267</v>
      </c>
      <c r="J13" s="78" t="s">
        <v>360</v>
      </c>
      <c r="K13" s="78"/>
    </row>
    <row r="14" spans="1:12" s="75" customFormat="1" ht="60" outlineLevel="1">
      <c r="A14" s="100" t="s">
        <v>258</v>
      </c>
      <c r="B14" s="77" t="s">
        <v>259</v>
      </c>
      <c r="C14" s="78" t="s">
        <v>260</v>
      </c>
      <c r="D14" s="154" t="s">
        <v>261</v>
      </c>
      <c r="E14" s="145"/>
      <c r="F14" s="146"/>
      <c r="G14" s="102"/>
      <c r="H14" s="98" t="s">
        <v>361</v>
      </c>
      <c r="I14" s="103">
        <v>46267</v>
      </c>
      <c r="J14" s="101" t="s">
        <v>360</v>
      </c>
      <c r="K14" s="101"/>
    </row>
    <row r="15" spans="1:12" s="75" customFormat="1" ht="90" outlineLevel="1">
      <c r="A15" s="76" t="s">
        <v>262</v>
      </c>
      <c r="B15" s="77" t="s">
        <v>263</v>
      </c>
      <c r="C15" s="78" t="s">
        <v>264</v>
      </c>
      <c r="D15" s="124" t="s">
        <v>265</v>
      </c>
      <c r="E15" s="145"/>
      <c r="F15" s="146"/>
      <c r="G15" s="77"/>
      <c r="H15" s="98" t="s">
        <v>361</v>
      </c>
      <c r="I15" s="79">
        <v>46267</v>
      </c>
      <c r="J15" s="78" t="s">
        <v>360</v>
      </c>
      <c r="K15" s="78"/>
    </row>
    <row r="16" spans="1:12" s="75" customFormat="1" ht="45" outlineLevel="1">
      <c r="A16" s="100" t="s">
        <v>266</v>
      </c>
      <c r="B16" s="77" t="s">
        <v>267</v>
      </c>
      <c r="C16" s="78" t="s">
        <v>268</v>
      </c>
      <c r="D16" s="154" t="s">
        <v>269</v>
      </c>
      <c r="E16" s="145"/>
      <c r="F16" s="146"/>
      <c r="G16" s="102"/>
      <c r="H16" s="98" t="s">
        <v>361</v>
      </c>
      <c r="I16" s="103" t="s">
        <v>383</v>
      </c>
      <c r="J16" s="101" t="s">
        <v>360</v>
      </c>
      <c r="K16" s="101" t="s">
        <v>381</v>
      </c>
    </row>
    <row r="17" spans="1:11" s="75" customFormat="1" ht="60" outlineLevel="1">
      <c r="A17" s="76" t="s">
        <v>270</v>
      </c>
      <c r="B17" s="77" t="s">
        <v>271</v>
      </c>
      <c r="C17" s="78" t="s">
        <v>272</v>
      </c>
      <c r="D17" s="124" t="s">
        <v>273</v>
      </c>
      <c r="E17" s="145"/>
      <c r="F17" s="146"/>
      <c r="G17" s="77"/>
      <c r="H17" s="98" t="s">
        <v>361</v>
      </c>
      <c r="I17" s="79">
        <v>46267</v>
      </c>
      <c r="J17" s="78" t="s">
        <v>360</v>
      </c>
      <c r="K17" s="78" t="s">
        <v>382</v>
      </c>
    </row>
    <row r="18" spans="1:11" ht="75">
      <c r="A18" s="76" t="s">
        <v>274</v>
      </c>
      <c r="B18" s="77" t="s">
        <v>275</v>
      </c>
      <c r="C18" s="78" t="s">
        <v>276</v>
      </c>
      <c r="D18" s="124" t="s">
        <v>277</v>
      </c>
      <c r="E18" s="145"/>
      <c r="F18" s="146"/>
      <c r="G18" s="77"/>
      <c r="H18" s="98" t="s">
        <v>361</v>
      </c>
      <c r="I18" s="86">
        <v>46267</v>
      </c>
      <c r="J18" s="78" t="s">
        <v>360</v>
      </c>
      <c r="K18" s="78"/>
    </row>
    <row r="19" spans="1:11" ht="15" customHeight="1">
      <c r="A19" s="80"/>
      <c r="B19" s="81"/>
      <c r="C19" s="82"/>
      <c r="D19" s="118"/>
      <c r="E19" s="140"/>
      <c r="F19" s="140"/>
      <c r="G19" s="81"/>
      <c r="H19" s="81"/>
      <c r="I19" s="85"/>
      <c r="J19" s="82"/>
      <c r="K19" s="82"/>
    </row>
    <row r="20" spans="1:11" ht="15" customHeight="1">
      <c r="A20" s="80"/>
      <c r="B20" s="81"/>
      <c r="C20" s="82"/>
      <c r="D20" s="118"/>
      <c r="E20" s="140"/>
      <c r="F20" s="140"/>
      <c r="G20" s="81"/>
      <c r="H20" s="81"/>
      <c r="I20" s="85"/>
      <c r="J20" s="82"/>
      <c r="K20" s="82"/>
    </row>
    <row r="21" spans="1:11" ht="15" customHeight="1">
      <c r="C21" s="91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29">
    <mergeCell ref="A1:A2"/>
    <mergeCell ref="D20:F20"/>
    <mergeCell ref="I6:K6"/>
    <mergeCell ref="B3:D3"/>
    <mergeCell ref="D19:F19"/>
    <mergeCell ref="B1:D2"/>
    <mergeCell ref="I9:I10"/>
    <mergeCell ref="K9:K10"/>
    <mergeCell ref="I7:K7"/>
    <mergeCell ref="D18:F18"/>
    <mergeCell ref="I4:K4"/>
    <mergeCell ref="D15:F15"/>
    <mergeCell ref="B9:B10"/>
    <mergeCell ref="B5:D5"/>
    <mergeCell ref="A12:K12"/>
    <mergeCell ref="D14:F14"/>
    <mergeCell ref="D9:G10"/>
    <mergeCell ref="B4:D4"/>
    <mergeCell ref="A9:A10"/>
    <mergeCell ref="D17:F17"/>
    <mergeCell ref="I3:K3"/>
    <mergeCell ref="D16:F16"/>
    <mergeCell ref="C9:C10"/>
    <mergeCell ref="I5:K5"/>
    <mergeCell ref="D13:F13"/>
    <mergeCell ref="A8:D8"/>
    <mergeCell ref="H9:H10"/>
    <mergeCell ref="J9:J10"/>
    <mergeCell ref="A11:K1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L53"/>
  <sheetViews>
    <sheetView zoomScale="85" zoomScaleNormal="85" workbookViewId="0">
      <selection activeCell="A8" sqref="A8:D8"/>
    </sheetView>
  </sheetViews>
  <sheetFormatPr defaultColWidth="8.77734375" defaultRowHeight="15" outlineLevelRow="1"/>
  <cols>
    <col min="1" max="1" width="18.109375" style="35" bestFit="1" customWidth="1"/>
    <col min="2" max="2" width="17.554687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8.332031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278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279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COUNTIF(J10:J98,"Pass")</f>
        <v>5</v>
      </c>
      <c r="C6" s="69" t="s">
        <v>28</v>
      </c>
      <c r="D6" s="69">
        <v>0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COUNTIF(J12:J98,"Fail")</f>
        <v>0</v>
      </c>
      <c r="C7" s="70" t="s">
        <v>30</v>
      </c>
      <c r="D7" s="71">
        <v>5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55" t="s">
        <v>280</v>
      </c>
      <c r="B12" s="156"/>
      <c r="C12" s="156"/>
      <c r="D12" s="156"/>
      <c r="E12" s="156"/>
      <c r="F12" s="156"/>
      <c r="G12" s="156"/>
      <c r="H12" s="156"/>
      <c r="I12" s="156"/>
      <c r="J12" s="156"/>
      <c r="K12" s="157"/>
    </row>
    <row r="13" spans="1:12" s="75" customFormat="1" ht="75" outlineLevel="1">
      <c r="A13" s="76" t="s">
        <v>281</v>
      </c>
      <c r="B13" s="77" t="s">
        <v>282</v>
      </c>
      <c r="C13" s="78" t="s">
        <v>380</v>
      </c>
      <c r="D13" s="124" t="s">
        <v>283</v>
      </c>
      <c r="E13" s="153"/>
      <c r="F13" s="153"/>
      <c r="G13" s="77"/>
      <c r="H13" s="98" t="s">
        <v>361</v>
      </c>
      <c r="I13" s="79">
        <v>46268</v>
      </c>
      <c r="J13" s="78" t="s">
        <v>360</v>
      </c>
      <c r="K13" s="78"/>
    </row>
    <row r="14" spans="1:12" s="75" customFormat="1" ht="45" outlineLevel="1">
      <c r="A14" s="100" t="s">
        <v>284</v>
      </c>
      <c r="B14" s="77" t="s">
        <v>285</v>
      </c>
      <c r="C14" s="78" t="s">
        <v>286</v>
      </c>
      <c r="D14" s="154" t="s">
        <v>287</v>
      </c>
      <c r="E14" s="153"/>
      <c r="F14" s="153"/>
      <c r="G14" s="102"/>
      <c r="H14" s="98" t="s">
        <v>361</v>
      </c>
      <c r="I14" s="79">
        <v>46268</v>
      </c>
      <c r="J14" s="101" t="s">
        <v>360</v>
      </c>
      <c r="K14" s="101"/>
    </row>
    <row r="15" spans="1:12" s="75" customFormat="1" ht="75" outlineLevel="1">
      <c r="A15" s="76" t="s">
        <v>288</v>
      </c>
      <c r="B15" s="77" t="s">
        <v>289</v>
      </c>
      <c r="C15" s="78" t="s">
        <v>290</v>
      </c>
      <c r="D15" s="124" t="s">
        <v>291</v>
      </c>
      <c r="E15" s="153"/>
      <c r="F15" s="153"/>
      <c r="G15" s="77"/>
      <c r="H15" s="98" t="s">
        <v>361</v>
      </c>
      <c r="I15" s="79">
        <v>46268</v>
      </c>
      <c r="J15" s="78" t="s">
        <v>360</v>
      </c>
      <c r="K15" s="78"/>
    </row>
    <row r="16" spans="1:12" s="75" customFormat="1" ht="45" outlineLevel="1">
      <c r="A16" s="76" t="s">
        <v>292</v>
      </c>
      <c r="B16" s="77" t="s">
        <v>294</v>
      </c>
      <c r="C16" s="78" t="s">
        <v>295</v>
      </c>
      <c r="D16" s="124" t="s">
        <v>296</v>
      </c>
      <c r="E16" s="153"/>
      <c r="F16" s="153"/>
      <c r="G16" s="77"/>
      <c r="H16" s="98" t="s">
        <v>361</v>
      </c>
      <c r="I16" s="86">
        <v>46268</v>
      </c>
      <c r="J16" s="78" t="s">
        <v>360</v>
      </c>
      <c r="K16" s="78"/>
    </row>
    <row r="17" spans="1:11" ht="75">
      <c r="A17" s="76" t="s">
        <v>293</v>
      </c>
      <c r="B17" s="77" t="s">
        <v>297</v>
      </c>
      <c r="C17" s="78" t="s">
        <v>298</v>
      </c>
      <c r="D17" s="124" t="s">
        <v>299</v>
      </c>
      <c r="E17" s="153"/>
      <c r="F17" s="153"/>
      <c r="G17" s="77"/>
      <c r="H17" s="98" t="s">
        <v>361</v>
      </c>
      <c r="I17" s="86">
        <v>46268</v>
      </c>
      <c r="J17" s="78" t="s">
        <v>360</v>
      </c>
      <c r="K17" s="78"/>
    </row>
    <row r="18" spans="1:11" ht="15" customHeight="1">
      <c r="A18" s="80"/>
      <c r="B18" s="81"/>
      <c r="C18" s="82"/>
      <c r="D18" s="118"/>
      <c r="E18" s="140"/>
      <c r="F18" s="140"/>
      <c r="G18" s="81"/>
      <c r="H18" s="81"/>
      <c r="I18" s="85"/>
      <c r="J18" s="82"/>
      <c r="K18" s="82"/>
    </row>
    <row r="19" spans="1:11" ht="15" customHeight="1">
      <c r="C19" s="91"/>
    </row>
    <row r="20" spans="1:11" ht="15" customHeight="1">
      <c r="C20" s="91"/>
    </row>
    <row r="21" spans="1:11" ht="15" customHeight="1">
      <c r="C21" s="91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2" customHeight="1"/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</sheetData>
  <mergeCells count="27">
    <mergeCell ref="A1:A2"/>
    <mergeCell ref="D18:F18"/>
    <mergeCell ref="I6:K6"/>
    <mergeCell ref="B3:D3"/>
    <mergeCell ref="B1:D2"/>
    <mergeCell ref="I9:I10"/>
    <mergeCell ref="K9:K10"/>
    <mergeCell ref="I7:K7"/>
    <mergeCell ref="D17:F17"/>
    <mergeCell ref="I4:K4"/>
    <mergeCell ref="D15:F15"/>
    <mergeCell ref="B9:B10"/>
    <mergeCell ref="B5:D5"/>
    <mergeCell ref="A12:K12"/>
    <mergeCell ref="D14:F14"/>
    <mergeCell ref="D9:G10"/>
    <mergeCell ref="B4:D4"/>
    <mergeCell ref="A9:A10"/>
    <mergeCell ref="D16:F16"/>
    <mergeCell ref="I3:K3"/>
    <mergeCell ref="C9:C10"/>
    <mergeCell ref="I5:K5"/>
    <mergeCell ref="D13:F13"/>
    <mergeCell ref="A8:D8"/>
    <mergeCell ref="H9:H10"/>
    <mergeCell ref="J9:J10"/>
    <mergeCell ref="A11:K1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4"/>
  <sheetViews>
    <sheetView topLeftCell="A13" zoomScale="85" zoomScaleNormal="85" workbookViewId="0">
      <selection activeCell="E7" sqref="E7"/>
    </sheetView>
  </sheetViews>
  <sheetFormatPr defaultColWidth="8.77734375" defaultRowHeight="15" outlineLevelRow="1"/>
  <cols>
    <col min="1" max="1" width="18.109375" style="35" bestFit="1" customWidth="1"/>
    <col min="2" max="2" width="18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9.88671875" style="84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300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58" t="s">
        <v>301</v>
      </c>
      <c r="C5" s="159"/>
      <c r="D5" s="160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COUNTIF(J10:J99,"Pass")</f>
        <v>5</v>
      </c>
      <c r="C6" s="69" t="s">
        <v>28</v>
      </c>
      <c r="D6" s="69">
        <v>1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COUNTIF(J12:J99,"Fail")</f>
        <v>0</v>
      </c>
      <c r="C7" s="70" t="s">
        <v>30</v>
      </c>
      <c r="D7" s="71">
        <v>6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55" t="s">
        <v>302</v>
      </c>
      <c r="B12" s="156"/>
      <c r="C12" s="156"/>
      <c r="D12" s="156"/>
      <c r="E12" s="156"/>
      <c r="F12" s="156"/>
      <c r="G12" s="156"/>
      <c r="H12" s="156"/>
      <c r="I12" s="156"/>
      <c r="J12" s="156"/>
      <c r="K12" s="157"/>
    </row>
    <row r="13" spans="1:12" s="75" customFormat="1" ht="60" outlineLevel="1">
      <c r="A13" s="76" t="s">
        <v>303</v>
      </c>
      <c r="B13" s="77" t="s">
        <v>304</v>
      </c>
      <c r="C13" s="78" t="s">
        <v>305</v>
      </c>
      <c r="D13" s="124" t="s">
        <v>306</v>
      </c>
      <c r="E13" s="153"/>
      <c r="F13" s="153"/>
      <c r="G13" s="77"/>
      <c r="H13" s="98" t="s">
        <v>361</v>
      </c>
      <c r="I13" s="86">
        <v>46268</v>
      </c>
      <c r="J13" s="78" t="s">
        <v>360</v>
      </c>
      <c r="K13" s="78"/>
    </row>
    <row r="14" spans="1:12" s="75" customFormat="1" ht="75" outlineLevel="1">
      <c r="A14" s="100" t="s">
        <v>307</v>
      </c>
      <c r="B14" s="77" t="s">
        <v>308</v>
      </c>
      <c r="C14" s="78" t="s">
        <v>309</v>
      </c>
      <c r="D14" s="154" t="s">
        <v>310</v>
      </c>
      <c r="E14" s="153"/>
      <c r="F14" s="153"/>
      <c r="G14" s="102"/>
      <c r="H14" s="98" t="s">
        <v>361</v>
      </c>
      <c r="I14" s="105">
        <v>46268</v>
      </c>
      <c r="J14" s="101" t="s">
        <v>360</v>
      </c>
      <c r="K14" s="101"/>
    </row>
    <row r="15" spans="1:12" s="75" customFormat="1" ht="75" outlineLevel="1">
      <c r="A15" s="76" t="s">
        <v>311</v>
      </c>
      <c r="B15" s="77" t="s">
        <v>312</v>
      </c>
      <c r="C15" s="78" t="s">
        <v>313</v>
      </c>
      <c r="D15" s="124" t="s">
        <v>314</v>
      </c>
      <c r="E15" s="153"/>
      <c r="F15" s="153"/>
      <c r="G15" s="77"/>
      <c r="H15" s="98" t="s">
        <v>361</v>
      </c>
      <c r="I15" s="86">
        <v>46268</v>
      </c>
      <c r="J15" s="78" t="s">
        <v>360</v>
      </c>
      <c r="K15" s="78"/>
    </row>
    <row r="16" spans="1:12" s="75" customFormat="1" ht="75" outlineLevel="1">
      <c r="A16" s="100" t="s">
        <v>315</v>
      </c>
      <c r="B16" s="77" t="s">
        <v>316</v>
      </c>
      <c r="C16" s="78" t="s">
        <v>317</v>
      </c>
      <c r="D16" s="154" t="s">
        <v>318</v>
      </c>
      <c r="E16" s="153"/>
      <c r="F16" s="153"/>
      <c r="G16" s="102"/>
      <c r="H16" s="98" t="s">
        <v>361</v>
      </c>
      <c r="I16" s="105">
        <v>46268</v>
      </c>
      <c r="J16" s="101" t="s">
        <v>360</v>
      </c>
      <c r="K16" s="101"/>
    </row>
    <row r="17" spans="1:11" s="75" customFormat="1" ht="60" outlineLevel="1">
      <c r="A17" s="76" t="s">
        <v>319</v>
      </c>
      <c r="B17" s="77" t="s">
        <v>320</v>
      </c>
      <c r="C17" s="78" t="s">
        <v>321</v>
      </c>
      <c r="D17" s="124" t="s">
        <v>322</v>
      </c>
      <c r="E17" s="153"/>
      <c r="F17" s="153"/>
      <c r="G17" s="77"/>
      <c r="H17" s="98" t="s">
        <v>361</v>
      </c>
      <c r="I17" s="86">
        <v>46268</v>
      </c>
      <c r="J17" s="78" t="s">
        <v>28</v>
      </c>
      <c r="K17" s="78"/>
    </row>
    <row r="18" spans="1:11" ht="60">
      <c r="A18" s="76" t="s">
        <v>323</v>
      </c>
      <c r="B18" s="77" t="s">
        <v>324</v>
      </c>
      <c r="C18" s="78" t="s">
        <v>325</v>
      </c>
      <c r="D18" s="124" t="s">
        <v>326</v>
      </c>
      <c r="E18" s="153"/>
      <c r="F18" s="153"/>
      <c r="G18" s="77"/>
      <c r="H18" s="98" t="s">
        <v>361</v>
      </c>
      <c r="I18" s="86">
        <v>46268</v>
      </c>
      <c r="J18" s="78" t="s">
        <v>360</v>
      </c>
      <c r="K18" s="78"/>
    </row>
    <row r="19" spans="1:11" ht="15" customHeight="1">
      <c r="A19" s="80"/>
      <c r="B19" s="81"/>
      <c r="C19" s="82"/>
      <c r="D19" s="118"/>
      <c r="E19" s="140"/>
      <c r="F19" s="140"/>
      <c r="G19" s="81"/>
      <c r="H19" s="81"/>
      <c r="I19" s="85"/>
      <c r="J19" s="82"/>
      <c r="K19" s="82"/>
    </row>
    <row r="20" spans="1:11" ht="15" customHeight="1">
      <c r="A20" s="80"/>
      <c r="B20" s="81"/>
      <c r="C20" s="82"/>
      <c r="D20" s="118"/>
      <c r="E20" s="140"/>
      <c r="F20" s="140"/>
      <c r="G20" s="81"/>
      <c r="H20" s="81"/>
      <c r="I20" s="85"/>
      <c r="J20" s="82"/>
      <c r="K20" s="82"/>
    </row>
    <row r="21" spans="1:11" ht="15" customHeight="1">
      <c r="C21" s="91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2" customHeight="1"/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</sheetData>
  <mergeCells count="29">
    <mergeCell ref="D17:F17"/>
    <mergeCell ref="D20:F20"/>
    <mergeCell ref="I7:K7"/>
    <mergeCell ref="A1:A2"/>
    <mergeCell ref="D19:F19"/>
    <mergeCell ref="I6:K6"/>
    <mergeCell ref="B3:D3"/>
    <mergeCell ref="D18:F18"/>
    <mergeCell ref="B1:D2"/>
    <mergeCell ref="I9:I10"/>
    <mergeCell ref="K9:K10"/>
    <mergeCell ref="I4:K4"/>
    <mergeCell ref="D15:F15"/>
    <mergeCell ref="B9:B10"/>
    <mergeCell ref="B5:D5"/>
    <mergeCell ref="I3:K3"/>
    <mergeCell ref="I5:K5"/>
    <mergeCell ref="D13:F13"/>
    <mergeCell ref="A8:D8"/>
    <mergeCell ref="H9:H10"/>
    <mergeCell ref="J9:J10"/>
    <mergeCell ref="A11:K11"/>
    <mergeCell ref="A12:K12"/>
    <mergeCell ref="D9:G10"/>
    <mergeCell ref="B4:D4"/>
    <mergeCell ref="A9:A10"/>
    <mergeCell ref="D14:F14"/>
    <mergeCell ref="D16:F16"/>
    <mergeCell ref="C9:C10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5"/>
  <sheetViews>
    <sheetView topLeftCell="A8" zoomScale="85" zoomScaleNormal="85" workbookViewId="0">
      <selection activeCell="H17" sqref="H17"/>
    </sheetView>
  </sheetViews>
  <sheetFormatPr defaultColWidth="8.77734375" defaultRowHeight="15" outlineLevelRow="1"/>
  <cols>
    <col min="1" max="1" width="18.109375" style="35" bestFit="1" customWidth="1"/>
    <col min="2" max="2" width="16.6640625" style="35" bestFit="1" customWidth="1"/>
    <col min="3" max="3" width="42.109375" style="35" customWidth="1"/>
    <col min="4" max="5" width="8.77734375" style="35"/>
    <col min="6" max="6" width="33.5546875" style="35" customWidth="1"/>
    <col min="7" max="7" width="18.44140625" style="35" hidden="1" customWidth="1"/>
    <col min="8" max="8" width="38" style="35" customWidth="1"/>
    <col min="9" max="9" width="17.109375" style="35" customWidth="1"/>
    <col min="10" max="10" width="7.44140625" style="84" bestFit="1" customWidth="1"/>
    <col min="11" max="11" width="18" style="35" customWidth="1"/>
    <col min="12" max="16384" width="8.77734375" style="35"/>
  </cols>
  <sheetData>
    <row r="1" spans="1:12" s="34" customFormat="1" ht="12.75" customHeight="1" thickBot="1">
      <c r="A1" s="133" t="s">
        <v>0</v>
      </c>
      <c r="B1" s="139"/>
      <c r="C1" s="125"/>
      <c r="D1" s="125"/>
      <c r="E1" s="61"/>
      <c r="F1" s="61"/>
      <c r="G1" s="61"/>
      <c r="H1" s="61"/>
      <c r="I1" s="61"/>
      <c r="J1" s="61"/>
      <c r="K1" s="61"/>
      <c r="L1" s="33"/>
    </row>
    <row r="2" spans="1:12" s="34" customFormat="1" ht="11.25" customHeight="1" thickBot="1">
      <c r="A2" s="152"/>
      <c r="B2" s="152"/>
      <c r="C2" s="152"/>
      <c r="D2" s="152"/>
      <c r="E2" s="61"/>
      <c r="F2" s="61"/>
      <c r="G2" s="61"/>
      <c r="H2" s="61"/>
      <c r="I2" s="61"/>
      <c r="J2" s="61"/>
      <c r="K2" s="61"/>
      <c r="L2" s="33"/>
    </row>
    <row r="3" spans="1:12" s="34" customFormat="1" ht="30">
      <c r="A3" s="62" t="s">
        <v>22</v>
      </c>
      <c r="B3" s="136" t="s">
        <v>4</v>
      </c>
      <c r="C3" s="142"/>
      <c r="D3" s="143"/>
      <c r="E3" s="63"/>
      <c r="F3" s="63"/>
      <c r="G3" s="63"/>
      <c r="H3" s="63"/>
      <c r="I3" s="130"/>
      <c r="J3" s="125"/>
      <c r="K3" s="125"/>
      <c r="L3" s="33"/>
    </row>
    <row r="4" spans="1:12" s="34" customFormat="1" ht="30">
      <c r="A4" s="65" t="s">
        <v>23</v>
      </c>
      <c r="B4" s="135" t="s">
        <v>327</v>
      </c>
      <c r="C4" s="145"/>
      <c r="D4" s="147"/>
      <c r="E4" s="63"/>
      <c r="F4" s="63"/>
      <c r="G4" s="63"/>
      <c r="H4" s="63"/>
      <c r="I4" s="130"/>
      <c r="J4" s="125"/>
      <c r="K4" s="125"/>
      <c r="L4" s="33"/>
    </row>
    <row r="5" spans="1:12" s="68" customFormat="1" ht="26.25" customHeight="1">
      <c r="A5" s="65" t="s">
        <v>25</v>
      </c>
      <c r="B5" s="121" t="s">
        <v>328</v>
      </c>
      <c r="C5" s="145"/>
      <c r="D5" s="147"/>
      <c r="E5" s="66"/>
      <c r="F5" s="66"/>
      <c r="G5" s="66"/>
      <c r="H5" s="66"/>
      <c r="I5" s="131"/>
      <c r="J5" s="132"/>
      <c r="K5" s="132"/>
      <c r="L5" s="67"/>
    </row>
    <row r="6" spans="1:12" s="34" customFormat="1" ht="18" customHeight="1">
      <c r="A6" s="87" t="s">
        <v>27</v>
      </c>
      <c r="B6" s="69">
        <f>COUNTIF(J10:J100,"Pass")</f>
        <v>5</v>
      </c>
      <c r="C6" s="69" t="s">
        <v>28</v>
      </c>
      <c r="D6" s="69">
        <v>0</v>
      </c>
      <c r="E6" s="64"/>
      <c r="F6" s="64"/>
      <c r="G6" s="64"/>
      <c r="H6" s="64"/>
      <c r="I6" s="130"/>
      <c r="J6" s="125"/>
      <c r="K6" s="125"/>
      <c r="L6" s="33"/>
    </row>
    <row r="7" spans="1:12" s="34" customFormat="1" ht="18" customHeight="1">
      <c r="A7" s="88" t="s">
        <v>29</v>
      </c>
      <c r="B7" s="89">
        <f>COUNTIF(J12:J100,"Fail")</f>
        <v>0</v>
      </c>
      <c r="C7" s="70" t="s">
        <v>30</v>
      </c>
      <c r="D7" s="71">
        <v>5</v>
      </c>
      <c r="E7" s="73"/>
      <c r="F7" s="73"/>
      <c r="G7" s="73"/>
      <c r="H7" s="73"/>
      <c r="I7" s="130"/>
      <c r="J7" s="125"/>
      <c r="K7" s="125"/>
      <c r="L7" s="33"/>
    </row>
    <row r="8" spans="1:12" s="34" customFormat="1" ht="15" customHeight="1">
      <c r="A8" s="138"/>
      <c r="B8" s="142"/>
      <c r="C8" s="142"/>
      <c r="D8" s="142"/>
      <c r="E8" s="64"/>
      <c r="F8" s="64"/>
      <c r="G8" s="64"/>
      <c r="H8" s="64"/>
      <c r="I8" s="64"/>
      <c r="J8" s="74"/>
      <c r="K8" s="74"/>
      <c r="L8" s="33"/>
    </row>
    <row r="9" spans="1:12" s="34" customFormat="1" ht="18" customHeight="1">
      <c r="A9" s="113" t="s">
        <v>31</v>
      </c>
      <c r="B9" s="120" t="s">
        <v>32</v>
      </c>
      <c r="C9" s="113" t="s">
        <v>33</v>
      </c>
      <c r="D9" s="113" t="s">
        <v>34</v>
      </c>
      <c r="E9" s="125"/>
      <c r="F9" s="125"/>
      <c r="G9" s="148"/>
      <c r="H9" s="113" t="s">
        <v>35</v>
      </c>
      <c r="I9" s="137" t="s">
        <v>36</v>
      </c>
      <c r="J9" s="137" t="s">
        <v>37</v>
      </c>
      <c r="K9" s="137" t="s">
        <v>38</v>
      </c>
      <c r="L9" s="33"/>
    </row>
    <row r="10" spans="1:12" s="34" customFormat="1" ht="12" customHeight="1">
      <c r="A10" s="144"/>
      <c r="B10" s="144"/>
      <c r="C10" s="144"/>
      <c r="D10" s="149"/>
      <c r="E10" s="150"/>
      <c r="F10" s="150"/>
      <c r="G10" s="151"/>
      <c r="H10" s="144"/>
      <c r="I10" s="144"/>
      <c r="J10" s="144"/>
      <c r="K10" s="144"/>
      <c r="L10" s="33"/>
    </row>
    <row r="11" spans="1:12" ht="15" customHeight="1">
      <c r="A11" s="115"/>
      <c r="B11" s="145"/>
      <c r="C11" s="145"/>
      <c r="D11" s="145"/>
      <c r="E11" s="145"/>
      <c r="F11" s="145"/>
      <c r="G11" s="145"/>
      <c r="H11" s="145"/>
      <c r="I11" s="145"/>
      <c r="J11" s="145"/>
      <c r="K11" s="146"/>
    </row>
    <row r="12" spans="1:12" s="75" customFormat="1" ht="12.75" customHeight="1">
      <c r="A12" s="123" t="s">
        <v>329</v>
      </c>
      <c r="B12" s="145"/>
      <c r="C12" s="145"/>
      <c r="D12" s="145"/>
      <c r="E12" s="145"/>
      <c r="F12" s="145"/>
      <c r="G12" s="145"/>
      <c r="H12" s="145"/>
      <c r="I12" s="145"/>
      <c r="J12" s="145"/>
      <c r="K12" s="146"/>
    </row>
    <row r="13" spans="1:12" s="75" customFormat="1" ht="60" outlineLevel="1">
      <c r="A13" s="76" t="s">
        <v>330</v>
      </c>
      <c r="B13" s="77" t="s">
        <v>331</v>
      </c>
      <c r="C13" s="78" t="s">
        <v>332</v>
      </c>
      <c r="D13" s="124" t="s">
        <v>333</v>
      </c>
      <c r="E13" s="145"/>
      <c r="F13" s="146"/>
      <c r="G13" s="77"/>
      <c r="H13" s="98" t="s">
        <v>361</v>
      </c>
      <c r="I13" s="79">
        <v>46268</v>
      </c>
      <c r="J13" s="78" t="s">
        <v>360</v>
      </c>
      <c r="K13" s="78"/>
    </row>
    <row r="14" spans="1:12" s="75" customFormat="1" ht="75" outlineLevel="1">
      <c r="A14" s="100" t="s">
        <v>334</v>
      </c>
      <c r="B14" s="77" t="s">
        <v>335</v>
      </c>
      <c r="C14" s="78" t="s">
        <v>336</v>
      </c>
      <c r="D14" s="154" t="s">
        <v>337</v>
      </c>
      <c r="E14" s="145"/>
      <c r="F14" s="146"/>
      <c r="G14" s="102"/>
      <c r="H14" s="106" t="s">
        <v>361</v>
      </c>
      <c r="I14" s="103">
        <v>46268</v>
      </c>
      <c r="J14" s="101" t="s">
        <v>360</v>
      </c>
      <c r="K14" s="101"/>
    </row>
    <row r="15" spans="1:12" s="75" customFormat="1" ht="75" outlineLevel="1">
      <c r="A15" s="76" t="s">
        <v>338</v>
      </c>
      <c r="B15" s="77" t="s">
        <v>339</v>
      </c>
      <c r="C15" s="78" t="s">
        <v>340</v>
      </c>
      <c r="D15" s="124" t="s">
        <v>341</v>
      </c>
      <c r="E15" s="145"/>
      <c r="F15" s="146"/>
      <c r="G15" s="77"/>
      <c r="H15" s="98" t="s">
        <v>361</v>
      </c>
      <c r="I15" s="79">
        <v>46268</v>
      </c>
      <c r="J15" s="78" t="s">
        <v>360</v>
      </c>
      <c r="K15" s="78"/>
    </row>
    <row r="16" spans="1:12" s="75" customFormat="1" ht="75" outlineLevel="1">
      <c r="A16" s="100" t="s">
        <v>342</v>
      </c>
      <c r="B16" s="77" t="s">
        <v>343</v>
      </c>
      <c r="C16" s="78" t="s">
        <v>344</v>
      </c>
      <c r="D16" s="154" t="s">
        <v>345</v>
      </c>
      <c r="E16" s="145"/>
      <c r="F16" s="146"/>
      <c r="G16" s="102"/>
      <c r="H16" s="106" t="s">
        <v>361</v>
      </c>
      <c r="I16" s="103">
        <v>46268</v>
      </c>
      <c r="J16" s="101" t="s">
        <v>360</v>
      </c>
      <c r="K16" s="101"/>
    </row>
    <row r="17" spans="1:11" s="75" customFormat="1" ht="90" outlineLevel="1">
      <c r="A17" s="76" t="s">
        <v>346</v>
      </c>
      <c r="B17" s="77" t="s">
        <v>347</v>
      </c>
      <c r="C17" s="78" t="s">
        <v>348</v>
      </c>
      <c r="D17" s="124" t="s">
        <v>349</v>
      </c>
      <c r="E17" s="153"/>
      <c r="F17" s="153"/>
      <c r="G17" s="77"/>
      <c r="H17" s="98" t="s">
        <v>361</v>
      </c>
      <c r="I17" s="86">
        <v>46268</v>
      </c>
      <c r="J17" s="78" t="s">
        <v>360</v>
      </c>
      <c r="K17" s="78"/>
    </row>
    <row r="18" spans="1:11" ht="15" customHeight="1">
      <c r="A18" s="80"/>
      <c r="B18" s="81"/>
      <c r="C18" s="82"/>
      <c r="D18" s="118"/>
      <c r="E18" s="140"/>
      <c r="F18" s="140"/>
      <c r="G18" s="81"/>
      <c r="H18" s="81"/>
      <c r="I18" s="85"/>
      <c r="J18" s="82"/>
      <c r="K18" s="82"/>
    </row>
    <row r="19" spans="1:11" ht="15" customHeight="1">
      <c r="A19" s="80"/>
      <c r="B19" s="81"/>
      <c r="C19" s="82"/>
      <c r="D19" s="118"/>
      <c r="E19" s="140"/>
      <c r="F19" s="140"/>
      <c r="G19" s="81"/>
      <c r="H19" s="81"/>
      <c r="I19" s="85"/>
      <c r="J19" s="82"/>
      <c r="K19" s="82"/>
    </row>
    <row r="20" spans="1:11" ht="15" customHeight="1">
      <c r="A20" s="80"/>
      <c r="B20" s="81"/>
      <c r="C20" s="82"/>
      <c r="D20" s="118"/>
      <c r="E20" s="140"/>
      <c r="F20" s="140"/>
      <c r="G20" s="81"/>
      <c r="H20" s="81"/>
      <c r="I20" s="85"/>
      <c r="J20" s="82"/>
      <c r="K20" s="82"/>
    </row>
    <row r="21" spans="1:11" ht="15" customHeight="1">
      <c r="A21" s="80"/>
      <c r="B21" s="81"/>
      <c r="C21" s="82"/>
      <c r="D21" s="118"/>
      <c r="E21" s="140"/>
      <c r="F21" s="140"/>
      <c r="G21" s="81"/>
      <c r="H21" s="81"/>
      <c r="I21" s="85"/>
      <c r="J21" s="82"/>
      <c r="K21" s="82"/>
    </row>
    <row r="22" spans="1:11" ht="15" customHeight="1">
      <c r="C22" s="91"/>
    </row>
    <row r="23" spans="1:11" ht="15" customHeight="1">
      <c r="C23" s="91"/>
    </row>
    <row r="24" spans="1:11" ht="15" customHeight="1">
      <c r="C24" s="91"/>
    </row>
    <row r="25" spans="1:11" ht="15" customHeight="1">
      <c r="C25" s="91"/>
    </row>
    <row r="26" spans="1:11" ht="15" customHeight="1">
      <c r="C26" s="91"/>
    </row>
    <row r="27" spans="1:11" ht="15" customHeight="1">
      <c r="C27" s="91"/>
    </row>
    <row r="28" spans="1:11" ht="15" customHeight="1">
      <c r="C28" s="91"/>
    </row>
    <row r="29" spans="1:11" ht="15" customHeight="1">
      <c r="C29" s="91"/>
    </row>
    <row r="30" spans="1:11" ht="15" customHeight="1">
      <c r="C30" s="91"/>
    </row>
    <row r="31" spans="1:11" ht="12" customHeight="1"/>
    <row r="32" spans="1:11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</sheetData>
  <mergeCells count="30">
    <mergeCell ref="D17:F17"/>
    <mergeCell ref="D21:F21"/>
    <mergeCell ref="I7:K7"/>
    <mergeCell ref="A1:A2"/>
    <mergeCell ref="D20:F20"/>
    <mergeCell ref="I6:K6"/>
    <mergeCell ref="B3:D3"/>
    <mergeCell ref="D19:F19"/>
    <mergeCell ref="B1:D2"/>
    <mergeCell ref="I9:I10"/>
    <mergeCell ref="K9:K10"/>
    <mergeCell ref="D18:F18"/>
    <mergeCell ref="I4:K4"/>
    <mergeCell ref="D15:F15"/>
    <mergeCell ref="B9:B10"/>
    <mergeCell ref="B5:D5"/>
    <mergeCell ref="I3:K3"/>
    <mergeCell ref="D16:F16"/>
    <mergeCell ref="C9:C10"/>
    <mergeCell ref="I5:K5"/>
    <mergeCell ref="D13:F13"/>
    <mergeCell ref="A8:D8"/>
    <mergeCell ref="H9:H10"/>
    <mergeCell ref="J9:J10"/>
    <mergeCell ref="A11:K11"/>
    <mergeCell ref="A12:K12"/>
    <mergeCell ref="D9:G10"/>
    <mergeCell ref="B4:D4"/>
    <mergeCell ref="A9:A10"/>
    <mergeCell ref="D14:F14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21"/>
  <sheetViews>
    <sheetView topLeftCell="A3" zoomScaleNormal="100" workbookViewId="0">
      <selection activeCell="G13" sqref="G13"/>
    </sheetView>
  </sheetViews>
  <sheetFormatPr defaultColWidth="8.77734375" defaultRowHeight="13.2"/>
  <cols>
    <col min="3" max="3" width="28.33203125" customWidth="1"/>
    <col min="7" max="7" width="18.77734375" customWidth="1"/>
  </cols>
  <sheetData>
    <row r="1" spans="1:7" ht="21.75" customHeight="1">
      <c r="A1" s="36" t="s">
        <v>350</v>
      </c>
      <c r="B1" s="37"/>
      <c r="C1" s="38"/>
      <c r="D1" s="38"/>
      <c r="E1" s="38"/>
      <c r="F1" s="38"/>
      <c r="G1" s="39"/>
    </row>
    <row r="2" spans="1:7" ht="14.25" customHeight="1">
      <c r="A2" s="36"/>
      <c r="B2" s="37"/>
      <c r="C2" s="38"/>
      <c r="D2" s="38"/>
      <c r="E2" s="38"/>
      <c r="F2" s="38"/>
      <c r="G2" s="39"/>
    </row>
    <row r="3" spans="1:7" ht="13.5" customHeight="1">
      <c r="B3" s="8" t="s">
        <v>351</v>
      </c>
      <c r="C3" s="38"/>
      <c r="D3" s="38"/>
      <c r="E3" s="38"/>
      <c r="F3" s="38"/>
      <c r="G3" s="39"/>
    </row>
    <row r="4" spans="1:7" ht="13.5" customHeight="1">
      <c r="B4" s="8" t="s">
        <v>352</v>
      </c>
      <c r="C4" s="40"/>
      <c r="D4" s="8"/>
      <c r="E4" s="8"/>
      <c r="F4" s="8"/>
      <c r="G4" s="8"/>
    </row>
    <row r="5" spans="1:7" ht="13.5" customHeight="1">
      <c r="A5" s="8"/>
      <c r="B5" s="8"/>
      <c r="C5" s="8"/>
      <c r="D5" s="8"/>
      <c r="E5" s="8"/>
      <c r="F5" s="8"/>
      <c r="G5" s="8"/>
    </row>
    <row r="6" spans="1:7" ht="13.5" customHeight="1">
      <c r="A6" s="8"/>
      <c r="B6" s="8"/>
      <c r="C6" s="8"/>
      <c r="D6" s="8"/>
      <c r="E6" s="8"/>
      <c r="F6" s="8"/>
      <c r="G6" s="8"/>
    </row>
    <row r="7" spans="1:7" ht="26.25" customHeight="1">
      <c r="A7" s="8"/>
      <c r="B7" s="41" t="s">
        <v>353</v>
      </c>
      <c r="C7" s="42" t="s">
        <v>354</v>
      </c>
      <c r="D7" s="43" t="s">
        <v>27</v>
      </c>
      <c r="E7" s="42" t="s">
        <v>29</v>
      </c>
      <c r="F7" s="42" t="s">
        <v>28</v>
      </c>
      <c r="G7" s="44" t="s">
        <v>355</v>
      </c>
    </row>
    <row r="8" spans="1:7" s="48" customFormat="1" ht="13.5" customHeight="1">
      <c r="A8" s="45"/>
      <c r="B8" s="46">
        <v>1</v>
      </c>
      <c r="C8" s="92" t="str">
        <f>'Xác thực &amp; phân quyền'!B4</f>
        <v>AUTH - Xác thực &amp; phân quyền</v>
      </c>
      <c r="D8" s="47">
        <f>'Xác thực &amp; phân quyền'!B6</f>
        <v>6</v>
      </c>
      <c r="E8" s="21">
        <f>'Xác thực &amp; phân quyền'!B7</f>
        <v>0</v>
      </c>
      <c r="F8" s="21">
        <f>'Xác thực &amp; phân quyền'!D6</f>
        <v>0</v>
      </c>
      <c r="G8" s="47">
        <f>'Xác thực &amp; phân quyền'!D7</f>
        <v>6</v>
      </c>
    </row>
    <row r="9" spans="1:7" ht="26.4" customHeight="1">
      <c r="A9" s="8"/>
      <c r="B9" s="49">
        <v>2</v>
      </c>
      <c r="C9" s="93" t="str">
        <f>'Người dùng &amp; Cơ cấu bán lẻ'!B4</f>
        <v>ORG - Người dùng &amp; Chain / Region / Store</v>
      </c>
      <c r="D9" s="50">
        <f>'Người dùng &amp; Cơ cấu bán lẻ'!B6</f>
        <v>9</v>
      </c>
      <c r="E9" s="50">
        <f>'Người dùng &amp; Cơ cấu bán lẻ'!B7</f>
        <v>0</v>
      </c>
      <c r="F9" s="50">
        <f>'Người dùng &amp; Cơ cấu bán lẻ'!D6</f>
        <v>0</v>
      </c>
      <c r="G9" s="51">
        <f>'Người dùng &amp; Cơ cấu bán lẻ'!D7</f>
        <v>9</v>
      </c>
    </row>
    <row r="10" spans="1:7" ht="13.5" customHeight="1">
      <c r="A10" s="8"/>
      <c r="B10" s="49">
        <v>3</v>
      </c>
      <c r="C10" s="93" t="str">
        <f>'Quản lý khoá học'!B4</f>
        <v>CRS - Quản lý khóa học &amp; phạm vi</v>
      </c>
      <c r="D10" s="50">
        <f>'Quản lý khoá học'!B6</f>
        <v>10</v>
      </c>
      <c r="E10" s="50">
        <f>'Quản lý khoá học'!B7</f>
        <v>0</v>
      </c>
      <c r="F10" s="50">
        <f>'Quản lý khoá học'!D6</f>
        <v>0</v>
      </c>
      <c r="G10" s="51">
        <f>'Quản lý khoá học'!D7</f>
        <v>10</v>
      </c>
    </row>
    <row r="11" spans="1:7" ht="13.5" customHeight="1">
      <c r="A11" s="8"/>
      <c r="B11" s="49">
        <v>4</v>
      </c>
      <c r="C11" s="93" t="str">
        <f>'Ghi danh &amp; tiến độ học'!B4</f>
        <v>ENR - Ghi danh &amp; tiến độ học</v>
      </c>
      <c r="D11" s="50">
        <f>'Ghi danh &amp; tiến độ học'!B6</f>
        <v>6</v>
      </c>
      <c r="E11" s="50">
        <f>'Ghi danh &amp; tiến độ học'!B7</f>
        <v>0</v>
      </c>
      <c r="F11" s="50">
        <f>'Ghi danh &amp; tiến độ học'!D6</f>
        <v>2</v>
      </c>
      <c r="G11" s="51">
        <f>'Ghi danh &amp; tiến độ học'!D7</f>
        <v>8</v>
      </c>
    </row>
    <row r="12" spans="1:7" ht="13.5" customHeight="1">
      <c r="A12" s="8"/>
      <c r="B12" s="49">
        <v>5</v>
      </c>
      <c r="C12" s="93" t="str">
        <f>'Bài kiểm tra &amp; làm bài'!B4</f>
        <v>TST - Bài kiểm tra, câu hỏi &amp; lượt làm</v>
      </c>
      <c r="D12" s="50">
        <f>'Bài kiểm tra &amp; làm bài'!B6</f>
        <v>12</v>
      </c>
      <c r="E12" s="50">
        <f>'Bài kiểm tra &amp; làm bài'!B7</f>
        <v>0</v>
      </c>
      <c r="F12" s="50">
        <f>'Bài kiểm tra &amp; làm bài'!D6</f>
        <v>0</v>
      </c>
      <c r="G12" s="51">
        <f>'Bài kiểm tra &amp; làm bài'!D7</f>
        <v>12</v>
      </c>
    </row>
    <row r="13" spans="1:7" ht="13.5" customHeight="1">
      <c r="A13" s="8"/>
      <c r="B13" s="49">
        <v>6</v>
      </c>
      <c r="C13" s="93" t="str">
        <f>'Chứng chỉ'!B4</f>
        <v>CRT - Chứng chỉ</v>
      </c>
      <c r="D13" s="50">
        <f>'Chứng chỉ'!B6</f>
        <v>6</v>
      </c>
      <c r="E13" s="50">
        <f>'Chứng chỉ'!B7</f>
        <v>0</v>
      </c>
      <c r="F13" s="50">
        <f>'Chứng chỉ'!D6</f>
        <v>0</v>
      </c>
      <c r="G13" s="51">
        <f>'Chứng chỉ'!D7</f>
        <v>6</v>
      </c>
    </row>
    <row r="14" spans="1:7" ht="13.5" customHeight="1">
      <c r="A14" s="8"/>
      <c r="B14" s="49">
        <v>7</v>
      </c>
      <c r="C14" s="93" t="str">
        <f>'Diễn đàn khoá học'!B4</f>
        <v>FRM - Diễn đàn khóa học</v>
      </c>
      <c r="D14" s="50">
        <f>'Diễn đàn khoá học'!B6</f>
        <v>6</v>
      </c>
      <c r="E14" s="50">
        <f>'Diễn đàn khoá học'!B7</f>
        <v>0</v>
      </c>
      <c r="F14" s="50">
        <f>'Diễn đàn khoá học'!D6</f>
        <v>0</v>
      </c>
      <c r="G14" s="51">
        <f>'Diễn đàn khoá học'!D7</f>
        <v>6</v>
      </c>
    </row>
    <row r="15" spans="1:7" ht="13.5" customHeight="1">
      <c r="A15" s="8"/>
      <c r="B15" s="49">
        <v>8</v>
      </c>
      <c r="C15" s="93" t="str">
        <f>'Trợ lý ảo &amp; hàng đợi trainer'!B4</f>
        <v>BOT - Trợ lý ảo &amp; hàng đợi Trainer</v>
      </c>
      <c r="D15" s="50">
        <f>'Trợ lý ảo &amp; hàng đợi trainer'!B6</f>
        <v>5</v>
      </c>
      <c r="E15" s="50">
        <f>'Trợ lý ảo &amp; hàng đợi trainer'!B7</f>
        <v>0</v>
      </c>
      <c r="F15" s="50">
        <f>'Trợ lý ảo &amp; hàng đợi trainer'!D6</f>
        <v>0</v>
      </c>
      <c r="G15" s="51">
        <f>'Trợ lý ảo &amp; hàng đợi trainer'!D7</f>
        <v>5</v>
      </c>
    </row>
    <row r="16" spans="1:7" ht="13.5" customHeight="1">
      <c r="A16" s="8"/>
      <c r="B16" s="49">
        <v>9</v>
      </c>
      <c r="C16" s="93" t="str">
        <f>'Thông báo &amp; điểm thưởng'!B4</f>
        <v>NTF - Thông báo &amp; điểm thưởng</v>
      </c>
      <c r="D16" s="50">
        <f>'Thông báo &amp; điểm thưởng'!B6</f>
        <v>5</v>
      </c>
      <c r="E16" s="50">
        <f>'Thông báo &amp; điểm thưởng'!B7</f>
        <v>0</v>
      </c>
      <c r="F16" s="50">
        <f>'Thông báo &amp; điểm thưởng'!D6</f>
        <v>1</v>
      </c>
      <c r="G16" s="51">
        <f>'Thông báo &amp; điểm thưởng'!D7</f>
        <v>6</v>
      </c>
    </row>
    <row r="17" spans="1:7" ht="13.5" customHeight="1">
      <c r="A17" s="8"/>
      <c r="B17" s="49">
        <v>10</v>
      </c>
      <c r="C17" s="93" t="str">
        <f>'Trang quản trị'!B4</f>
        <v>ADM - Trang quản trị &amp; vận hành</v>
      </c>
      <c r="D17" s="50">
        <f>'Trang quản trị'!B6</f>
        <v>5</v>
      </c>
      <c r="E17" s="50">
        <f>'Trang quản trị'!B7</f>
        <v>0</v>
      </c>
      <c r="F17" s="50">
        <f>'Trang quản trị'!D6</f>
        <v>0</v>
      </c>
      <c r="G17" s="51">
        <f>'Trang quản trị'!D7</f>
        <v>5</v>
      </c>
    </row>
    <row r="18" spans="1:7" ht="13.5" customHeight="1">
      <c r="A18" s="8"/>
      <c r="B18" s="52"/>
      <c r="C18" s="53" t="s">
        <v>356</v>
      </c>
      <c r="D18" s="54">
        <f>SUM(D8:D17)</f>
        <v>70</v>
      </c>
      <c r="E18" s="54">
        <f>SUM(E8:E17)</f>
        <v>0</v>
      </c>
      <c r="F18" s="54">
        <f>SUM(F8:F17)</f>
        <v>3</v>
      </c>
      <c r="G18" s="54">
        <f>SUM(G8:G17)</f>
        <v>73</v>
      </c>
    </row>
    <row r="19" spans="1:7" ht="13.5" customHeight="1">
      <c r="A19" s="8"/>
      <c r="B19" s="55"/>
      <c r="C19" s="8"/>
      <c r="D19" s="56"/>
      <c r="E19" s="57"/>
      <c r="F19" s="57"/>
      <c r="G19" s="57"/>
    </row>
    <row r="20" spans="1:7" ht="13.5" customHeight="1">
      <c r="A20" s="8"/>
      <c r="B20" s="8"/>
      <c r="C20" s="8" t="s">
        <v>357</v>
      </c>
      <c r="D20" s="8"/>
      <c r="E20" s="58">
        <f>(D18+E18)*100/G18</f>
        <v>95.890410958904113</v>
      </c>
      <c r="F20" s="8" t="s">
        <v>358</v>
      </c>
      <c r="G20" s="59"/>
    </row>
    <row r="21" spans="1:7" ht="13.5" customHeight="1">
      <c r="A21" s="8"/>
      <c r="B21" s="8"/>
      <c r="C21" s="8" t="s">
        <v>359</v>
      </c>
      <c r="D21" s="8"/>
      <c r="E21" s="58">
        <f>D18*100/G18</f>
        <v>95.890410958904113</v>
      </c>
      <c r="F21" s="8" t="s">
        <v>358</v>
      </c>
      <c r="G21" s="59"/>
    </row>
  </sheetData>
  <pageMargins left="0.75" right="0.75" top="1" bottom="1" header="0.511811023622047" footer="0.5"/>
  <pageSetup orientation="landscape" horizontalDpi="300" verticalDpi="300"/>
  <headerFooter>
    <oddFooter>&amp;L&amp;"Tahoma,Regular"&amp;8 02ae-BM/PM/HDCV/FSOFT v1/0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Cover</vt:lpstr>
      <vt:lpstr>Xác thực &amp; phân quyền</vt:lpstr>
      <vt:lpstr>Người dùng &amp; Cơ cấu bán lẻ</vt:lpstr>
      <vt:lpstr>Quản lý khoá học</vt:lpstr>
      <vt:lpstr>Ghi danh &amp; tiến độ học</vt:lpstr>
      <vt:lpstr>Bài kiểm tra &amp; làm bài</vt:lpstr>
      <vt:lpstr>Chứng chỉ</vt:lpstr>
      <vt:lpstr>Diễn đàn khoá học</vt:lpstr>
      <vt:lpstr>Trợ lý ảo &amp; hàng đợi trainer</vt:lpstr>
      <vt:lpstr>Thông báo &amp; điểm thưởng</vt:lpstr>
      <vt:lpstr>Trang quản trị</vt:lpstr>
      <vt:lpstr>Test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subject>Test Case</dc:subject>
  <dc:creator>Vadim V. Bobrenok</dc:creator>
  <dc:description>v1.2</dc:description>
  <cp:lastModifiedBy>Thái Hùng</cp:lastModifiedBy>
  <cp:revision>0</cp:revision>
  <cp:lastPrinted>2006-08-02T10:15:15Z</cp:lastPrinted>
  <dcterms:created xsi:type="dcterms:W3CDTF">2002-07-27T17:17:25Z</dcterms:created>
  <dcterms:modified xsi:type="dcterms:W3CDTF">2026-09-03T15:06:51Z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iority">
    <vt:lpwstr/>
  </property>
</Properties>
</file>