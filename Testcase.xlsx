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_University\HK9_2025_2026\DO_AN\Training_system_project\"/>
    </mc:Choice>
  </mc:AlternateContent>
  <xr:revisionPtr revIDLastSave="0" documentId="13_ncr:1_{BF2BA4A2-BEBB-4F3A-87C2-F61B2723AF41}" xr6:coauthVersionLast="47" xr6:coauthVersionMax="47" xr10:uidLastSave="{00000000-0000-0000-0000-000000000000}"/>
  <bookViews>
    <workbookView xWindow="-108" yWindow="-108" windowWidth="23256" windowHeight="12456" tabRatio="821" xr2:uid="{00000000-000D-0000-FFFF-FFFF00000000}"/>
  </bookViews>
  <sheets>
    <sheet name="Cover" sheetId="97" r:id="rId1"/>
    <sheet name="Xác thực &amp; phân quyền" sheetId="122" r:id="rId2"/>
    <sheet name="Người dùng &amp; phòng ban" sheetId="123" r:id="rId3"/>
    <sheet name="Quản lý khoá học" sheetId="124" r:id="rId4"/>
    <sheet name="Ghi danh &amp; tiến độ học" sheetId="125" r:id="rId5"/>
    <sheet name="Bài kiểm tra &amp; làm bài" sheetId="126" r:id="rId6"/>
    <sheet name="Chứng chỉ" sheetId="127" r:id="rId7"/>
    <sheet name="Diễn đàn khoá học" sheetId="128" r:id="rId8"/>
    <sheet name="Trợ lý ảo &amp; hàng đợi trainer" sheetId="129" r:id="rId9"/>
    <sheet name="Thông báo &amp; điểm thưởng" sheetId="130" r:id="rId10"/>
    <sheet name="Trang quản trị" sheetId="131" r:id="rId11"/>
    <sheet name="Test Report" sheetId="107" r:id="rId12"/>
  </sheets>
  <externalReferences>
    <externalReference r:id="rId13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31" l="1"/>
  <c r="B7" i="131"/>
  <c r="D6" i="131"/>
  <c r="B6" i="131"/>
  <c r="D7" i="130"/>
  <c r="B7" i="130"/>
  <c r="D6" i="130"/>
  <c r="B6" i="130"/>
  <c r="D7" i="129"/>
  <c r="B7" i="129"/>
  <c r="D6" i="129"/>
  <c r="B6" i="129"/>
  <c r="D7" i="128"/>
  <c r="B7" i="128"/>
  <c r="D6" i="128"/>
  <c r="B6" i="128"/>
  <c r="D7" i="127"/>
  <c r="B7" i="127"/>
  <c r="D6" i="127"/>
  <c r="B6" i="127"/>
  <c r="D7" i="126"/>
  <c r="B7" i="126"/>
  <c r="D6" i="126"/>
  <c r="B6" i="126"/>
  <c r="D7" i="125"/>
  <c r="B7" i="125"/>
  <c r="D6" i="125"/>
  <c r="B6" i="125"/>
  <c r="D7" i="124"/>
  <c r="B7" i="124"/>
  <c r="D6" i="124"/>
  <c r="B6" i="124"/>
  <c r="D7" i="123"/>
  <c r="B7" i="123"/>
  <c r="D6" i="123"/>
  <c r="B6" i="123"/>
  <c r="D7" i="122"/>
  <c r="G8" i="107" s="1"/>
  <c r="G10" i="107" s="1"/>
  <c r="B6" i="122"/>
  <c r="D8" i="107" s="1"/>
  <c r="D10" i="107" s="1"/>
  <c r="B7" i="122"/>
  <c r="E8" i="107" s="1"/>
  <c r="E10" i="107" s="1"/>
  <c r="D6" i="122"/>
  <c r="F8" i="107" s="1"/>
  <c r="F10" i="107" s="1"/>
  <c r="C8" i="107"/>
  <c r="E13" i="107" l="1"/>
  <c r="E12" i="107"/>
</calcChain>
</file>

<file path=xl/sharedStrings.xml><?xml version="1.0" encoding="utf-8"?>
<sst xmlns="http://schemas.openxmlformats.org/spreadsheetml/2006/main" count="224" uniqueCount="47">
  <si>
    <t>Fail</t>
  </si>
  <si>
    <t>Date</t>
    <phoneticPr fontId="13"/>
  </si>
  <si>
    <t>TEST CASE</t>
  </si>
  <si>
    <t>Test Case Description</t>
  </si>
  <si>
    <t>Change location</t>
  </si>
  <si>
    <t>Change description</t>
  </si>
  <si>
    <t>Note:</t>
  </si>
  <si>
    <t>TEST REPORT</t>
  </si>
  <si>
    <t>Effective Date</t>
  </si>
  <si>
    <t>Reviewer/
Approver</t>
  </si>
  <si>
    <t>Originator</t>
  </si>
  <si>
    <t>Issue date:</t>
  </si>
  <si>
    <t>Test Case Procedure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</si>
  <si>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</si>
  <si>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</si>
  <si>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</si>
  <si>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</si>
  <si>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</si>
  <si>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</si>
  <si>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</si>
  <si>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</si>
  <si>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</si>
  <si>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</si>
  <si>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Test date</t>
  </si>
  <si>
    <t>Number of test cases:</t>
  </si>
  <si>
    <t>Test requirement:</t>
  </si>
  <si>
    <t>ID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</si>
  <si>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</si>
  <si>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</si>
  <si>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</si>
  <si>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</si>
  <si>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</si>
  <si>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</si>
  <si>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</si>
  <si>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</si>
  <si>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Sample Project</t>
  </si>
  <si>
    <t>CR100 - Export to excel</t>
  </si>
  <si>
    <t xml:space="preserve">CR1 - </t>
  </si>
  <si>
    <t>Expected Results</t>
  </si>
  <si>
    <t>Actual Results</t>
  </si>
  <si>
    <t>Status</t>
  </si>
  <si>
    <t>Training System</t>
  </si>
  <si>
    <t>TLH</t>
  </si>
  <si>
    <t>1</t>
  </si>
  <si>
    <t>ALL</t>
  </si>
  <si>
    <t>Create Test case</t>
  </si>
  <si>
    <t>Thái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</si>
</sst>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4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40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wrapText="1"/>
    </xf>
    <xf numFmtId="0" fontId="15" fillId="3" borderId="14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/>
    <xf numFmtId="0" fontId="19" fillId="0" borderId="0" xfId="0" applyFo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32" xfId="0" applyFont="1" applyFill="1" applyBorder="1" applyAlignment="1">
      <alignment horizontal="center" wrapText="1"/>
    </xf>
    <xf numFmtId="0" fontId="6" fillId="0" borderId="2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15" fillId="5" borderId="21" xfId="2" applyFont="1" applyFill="1" applyBorder="1" applyAlignment="1">
      <alignment horizontal="center" vertical="center" wrapText="1"/>
    </xf>
    <xf numFmtId="0" fontId="15" fillId="5" borderId="29" xfId="2" applyFont="1" applyFill="1" applyBorder="1" applyAlignment="1">
      <alignment horizontal="center" vertical="center" wrapText="1"/>
    </xf>
    <xf numFmtId="0" fontId="22" fillId="4" borderId="20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left" vertical="top" wrapText="1"/>
    </xf>
    <xf numFmtId="0" fontId="22" fillId="0" borderId="22" xfId="0" applyFont="1" applyBorder="1" applyAlignment="1">
      <alignment horizontal="left" vertical="top" wrapText="1"/>
    </xf>
    <xf numFmtId="0" fontId="15" fillId="5" borderId="34" xfId="2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15" fillId="5" borderId="1" xfId="2" applyFont="1" applyFill="1" applyBorder="1" applyAlignment="1">
      <alignment horizontal="center" vertical="center" wrapText="1"/>
    </xf>
    <xf numFmtId="0" fontId="15" fillId="5" borderId="30" xfId="2" applyFont="1" applyFill="1" applyBorder="1" applyAlignment="1">
      <alignment horizontal="center" vertical="center" wrapText="1"/>
    </xf>
    <xf numFmtId="0" fontId="15" fillId="5" borderId="0" xfId="2" applyFont="1" applyFill="1" applyAlignment="1">
      <alignment horizontal="center" vertical="center" wrapText="1"/>
    </xf>
    <xf numFmtId="0" fontId="15" fillId="5" borderId="31" xfId="2" applyFont="1" applyFill="1" applyBorder="1" applyAlignment="1">
      <alignment horizontal="center" vertical="center" wrapText="1"/>
    </xf>
    <xf numFmtId="0" fontId="15" fillId="5" borderId="26" xfId="2" applyFont="1" applyFill="1" applyBorder="1" applyAlignment="1">
      <alignment horizontal="center" vertical="center" wrapText="1"/>
    </xf>
    <xf numFmtId="0" fontId="15" fillId="5" borderId="32" xfId="2" applyFont="1" applyFill="1" applyBorder="1" applyAlignment="1">
      <alignment horizontal="center" vertical="center" wrapText="1"/>
    </xf>
    <xf numFmtId="0" fontId="15" fillId="5" borderId="33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20" fillId="6" borderId="22" xfId="0" applyFont="1" applyFill="1" applyBorder="1" applyAlignment="1">
      <alignment horizontal="left" vertical="center"/>
    </xf>
    <xf numFmtId="0" fontId="20" fillId="6" borderId="17" xfId="0" applyFont="1" applyFill="1" applyBorder="1" applyAlignment="1">
      <alignment horizontal="left" vertical="center"/>
    </xf>
    <xf numFmtId="0" fontId="15" fillId="5" borderId="29" xfId="2" applyFont="1" applyFill="1" applyBorder="1" applyAlignment="1">
      <alignment vertical="center" wrapText="1"/>
    </xf>
    <xf numFmtId="0" fontId="15" fillId="5" borderId="1" xfId="2" applyFont="1" applyFill="1" applyBorder="1" applyAlignment="1">
      <alignment vertical="center" wrapText="1"/>
    </xf>
  </cellXfs>
  <cellStyles count="4">
    <cellStyle name="Normal" xfId="0" builtinId="0"/>
    <cellStyle name="Normal_Functional Test Case v1.0" xfId="1" xr:uid="{00000000-0005-0000-0000-000000000000}"/>
    <cellStyle name="Normal_Sheet1_Vanco_CR022a1_TestCase_v0.1" xfId="2" xr:uid="{00000000-0005-0000-0000-000001000000}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tabSelected="1" workbookViewId="0">
      <selection activeCell="F25" sqref="F25"/>
    </sheetView>
  </sheetViews>
  <sheetFormatPr defaultColWidth="9" defaultRowHeight="13.8"/>
  <cols>
    <col min="1" max="1" width="9" style="1"/>
    <col min="2" max="2" width="14.109375" style="1" customWidth="1"/>
    <col min="3" max="3" width="10.5546875" style="1" customWidth="1"/>
    <col min="4" max="4" width="15" style="1" customWidth="1"/>
    <col min="5" max="5" width="32.44140625" style="1" customWidth="1"/>
    <col min="6" max="6" width="23.77734375" style="1" customWidth="1"/>
    <col min="7" max="7" width="20.44140625" style="1" customWidth="1"/>
    <col min="8" max="8" width="26.6640625" style="1" customWidth="1"/>
    <col min="9" max="16384" width="9" style="1"/>
  </cols>
  <sheetData>
    <row r="2" spans="1:8" ht="22.2">
      <c r="A2" s="25"/>
      <c r="B2" s="26" t="s">
        <v>2</v>
      </c>
      <c r="C2" s="25"/>
      <c r="D2" s="25"/>
      <c r="E2" s="25"/>
      <c r="F2" s="25"/>
      <c r="G2" s="25"/>
    </row>
    <row r="3" spans="1:8">
      <c r="A3" s="25"/>
      <c r="B3" s="27" t="s">
        <v>28</v>
      </c>
      <c r="C3" s="61">
        <v>1</v>
      </c>
      <c r="D3" s="28"/>
      <c r="E3" s="25"/>
      <c r="F3" s="25"/>
      <c r="G3" s="25"/>
    </row>
    <row r="4" spans="1:8">
      <c r="A4" s="25"/>
      <c r="B4" s="27" t="s">
        <v>11</v>
      </c>
      <c r="C4" s="11">
        <v>46246</v>
      </c>
      <c r="D4" s="11"/>
      <c r="E4" s="25"/>
      <c r="F4" s="25"/>
      <c r="G4" s="25"/>
    </row>
    <row r="5" spans="1:8" ht="14.4" thickBot="1">
      <c r="A5" s="25"/>
      <c r="B5" s="27"/>
      <c r="C5" s="28"/>
      <c r="D5" s="28"/>
      <c r="E5" s="25"/>
      <c r="F5" s="25"/>
      <c r="G5" s="25"/>
    </row>
    <row r="6" spans="1:8" ht="14.25" customHeight="1" thickBot="1">
      <c r="A6" s="25"/>
      <c r="B6" s="27" t="s">
        <v>29</v>
      </c>
      <c r="C6" s="104" t="s">
        <v>41</v>
      </c>
      <c r="D6" s="104"/>
      <c r="E6" s="105"/>
      <c r="F6" s="25"/>
      <c r="G6" s="25"/>
    </row>
    <row r="7" spans="1:8">
      <c r="A7" s="25"/>
      <c r="B7" s="27" t="s">
        <v>30</v>
      </c>
      <c r="C7" s="104" t="s">
        <v>42</v>
      </c>
      <c r="D7" s="104"/>
      <c r="E7" s="105"/>
      <c r="F7" s="25"/>
      <c r="G7" s="25"/>
    </row>
    <row r="8" spans="1:8">
      <c r="A8" s="25"/>
      <c r="B8" s="27"/>
      <c r="C8" s="25"/>
      <c r="D8" s="25"/>
      <c r="E8" s="25"/>
      <c r="F8" s="25"/>
      <c r="G8" s="25"/>
    </row>
    <row r="9" spans="1:8">
      <c r="A9" s="25"/>
      <c r="B9" s="19"/>
      <c r="C9" s="19"/>
      <c r="D9" s="19"/>
      <c r="E9" s="19"/>
      <c r="F9" s="25"/>
      <c r="G9" s="25"/>
    </row>
    <row r="10" spans="1:8">
      <c r="B10" s="5" t="s">
        <v>20</v>
      </c>
    </row>
    <row r="11" spans="1:8" s="34" customFormat="1" ht="26.4">
      <c r="B11" s="50" t="s">
        <v>8</v>
      </c>
      <c r="C11" s="51" t="s">
        <v>21</v>
      </c>
      <c r="D11" s="51" t="s">
        <v>4</v>
      </c>
      <c r="E11" s="51" t="s">
        <v>5</v>
      </c>
      <c r="F11" s="51" t="s">
        <v>10</v>
      </c>
      <c r="G11" s="52" t="s">
        <v>9</v>
      </c>
      <c r="H11" s="86" t="s">
        <v>22</v>
      </c>
    </row>
    <row r="12" spans="1:8" s="34" customFormat="1">
      <c r="B12" s="36">
        <v>46246</v>
      </c>
      <c r="C12" s="37" t="s">
        <v>43</v>
      </c>
      <c r="D12" s="38" t="s">
        <v>44</v>
      </c>
      <c r="E12" s="39" t="s">
        <v>45</v>
      </c>
      <c r="F12" s="73" t="s">
        <v>46</v>
      </c>
      <c r="G12" s="85" t="s">
        <v>46</v>
      </c>
      <c r="H12" s="87"/>
    </row>
    <row r="13" spans="1:8" s="34" customFormat="1">
      <c r="B13" s="98"/>
      <c r="C13" s="37"/>
      <c r="D13" s="38"/>
      <c r="E13" s="39"/>
      <c r="F13" s="73"/>
      <c r="G13" s="97"/>
      <c r="H13" s="87"/>
    </row>
    <row r="14" spans="1:8" s="35" customFormat="1" ht="13.2">
      <c r="B14" s="36"/>
      <c r="C14" s="37"/>
      <c r="D14" s="38"/>
      <c r="E14" s="39"/>
      <c r="F14" s="73"/>
      <c r="G14" s="97"/>
      <c r="H14" s="87"/>
    </row>
    <row r="15" spans="1:8" s="35" customFormat="1" ht="13.2">
      <c r="B15" s="43"/>
      <c r="C15" s="44"/>
      <c r="D15" s="41"/>
      <c r="E15" s="41"/>
      <c r="F15" s="41"/>
      <c r="G15" s="41"/>
      <c r="H15" s="42"/>
    </row>
    <row r="16" spans="1:8" s="34" customFormat="1">
      <c r="B16" s="36"/>
      <c r="C16" s="40"/>
      <c r="D16" s="38"/>
      <c r="E16" s="41"/>
      <c r="F16" s="41"/>
      <c r="G16" s="41"/>
      <c r="H16" s="45"/>
    </row>
    <row r="17" spans="2:8" s="34" customFormat="1">
      <c r="B17" s="43"/>
      <c r="C17" s="44"/>
      <c r="D17" s="41"/>
      <c r="E17" s="41"/>
      <c r="F17" s="41"/>
      <c r="G17" s="41"/>
      <c r="H17" s="42"/>
    </row>
    <row r="18" spans="2:8" s="34" customFormat="1">
      <c r="B18" s="43"/>
      <c r="C18" s="44"/>
      <c r="D18" s="41"/>
      <c r="E18" s="41"/>
      <c r="F18" s="41"/>
      <c r="G18" s="41"/>
      <c r="H18" s="42"/>
    </row>
    <row r="19" spans="2:8" s="34" customFormat="1">
      <c r="B19" s="43"/>
      <c r="C19" s="44"/>
      <c r="D19" s="41"/>
      <c r="E19" s="41"/>
      <c r="F19" s="41"/>
      <c r="G19" s="41"/>
      <c r="H19" s="42"/>
    </row>
    <row r="20" spans="2:8" s="34" customFormat="1">
      <c r="B20" s="43"/>
      <c r="C20" s="44"/>
      <c r="D20" s="41"/>
      <c r="E20" s="41"/>
      <c r="F20" s="41"/>
      <c r="G20" s="41"/>
      <c r="H20" s="42"/>
    </row>
    <row r="21" spans="2:8" s="34" customFormat="1">
      <c r="B21" s="43"/>
      <c r="C21" s="44"/>
      <c r="D21" s="41"/>
      <c r="E21" s="41"/>
      <c r="F21" s="41"/>
      <c r="G21" s="41"/>
      <c r="H21" s="42"/>
    </row>
    <row r="22" spans="2:8" s="34" customFormat="1">
      <c r="B22" s="43"/>
      <c r="C22" s="44"/>
      <c r="D22" s="41"/>
      <c r="E22" s="41"/>
      <c r="F22" s="41"/>
      <c r="G22" s="41"/>
      <c r="H22" s="42"/>
    </row>
    <row r="23" spans="2:8" s="34" customFormat="1">
      <c r="B23" s="46"/>
      <c r="C23" s="47"/>
      <c r="D23" s="48"/>
      <c r="E23" s="48"/>
      <c r="F23" s="48"/>
      <c r="G23" s="48"/>
      <c r="H23" s="49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5"/>
  <sheetViews>
    <sheetView workbookViewId="0">
      <selection activeCell="C17" sqref="C17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9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B1:D2"/>
    <mergeCell ref="A8:D8"/>
    <mergeCell ref="B5:D5"/>
    <mergeCell ref="A12:K12"/>
    <mergeCell ref="I5:K5"/>
    <mergeCell ref="I6:K6"/>
    <mergeCell ref="I7:K7"/>
    <mergeCell ref="B3:D3"/>
    <mergeCell ref="I4:K4"/>
    <mergeCell ref="K9:K10"/>
    <mergeCell ref="I3:K3"/>
    <mergeCell ref="B4:D4"/>
    <mergeCell ref="I9:I10"/>
    <mergeCell ref="A11:K11"/>
    <mergeCell ref="A9:A10"/>
    <mergeCell ref="B9:B10"/>
    <mergeCell ref="J9:J10"/>
    <mergeCell ref="A16:C16"/>
    <mergeCell ref="D17:F17"/>
    <mergeCell ref="H9:H10"/>
    <mergeCell ref="D13:F13"/>
    <mergeCell ref="C9:C10"/>
    <mergeCell ref="D9:G10"/>
    <mergeCell ref="A14:C14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345E-1880-4845-9E70-A9D583F88DC0}">
  <dimension ref="A1:L55"/>
  <sheetViews>
    <sheetView workbookViewId="0">
      <selection activeCell="C17" sqref="C17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0CE9-EDD6-4A2A-94B7-C26C01E63773}">
  <dimension ref="A1:L55"/>
  <sheetViews>
    <sheetView workbookViewId="0">
      <selection activeCell="D19" sqref="D19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D49C-65CB-424B-AD06-20D5E05EB1E6}">
  <dimension ref="A1:L55"/>
  <sheetViews>
    <sheetView workbookViewId="0">
      <selection activeCell="D15" sqref="A1:XFD1048576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DEFB-8358-48EB-86D9-D7CBB7E6276F}">
  <dimension ref="A1:L55"/>
  <sheetViews>
    <sheetView workbookViewId="0">
      <selection activeCell="D17" sqref="A1:XFD1048576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9201-E6D3-46F0-9C9A-B562F972397E}">
  <dimension ref="A1:L55"/>
  <sheetViews>
    <sheetView workbookViewId="0">
      <selection activeCell="F34" sqref="F34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7E6D-DF1B-478A-AF6D-07E8B8F41C0D}">
  <dimension ref="A1:L55"/>
  <sheetViews>
    <sheetView topLeftCell="C1" workbookViewId="0">
      <selection activeCell="N1" sqref="N1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FADA-363D-4C59-8247-4B2EC9818B87}">
  <dimension ref="A1:L55"/>
  <sheetViews>
    <sheetView workbookViewId="0">
      <selection sqref="A1:XFD1048576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FFF7-3542-4BD9-BB54-27EF40C8C731}">
  <dimension ref="A1:L55"/>
  <sheetViews>
    <sheetView workbookViewId="0">
      <selection activeCell="H18" sqref="H18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712F-6D72-4349-9A81-3F30D09D9F58}">
  <dimension ref="A1:L55"/>
  <sheetViews>
    <sheetView workbookViewId="0">
      <selection activeCell="D17" sqref="D17:F17"/>
    </sheetView>
  </sheetViews>
  <sheetFormatPr defaultColWidth="8.77734375" defaultRowHeight="13.8" outlineLevelRow="1"/>
  <cols>
    <col min="1" max="1" width="15.6640625" customWidth="1"/>
    <col min="2" max="2" width="18.109375" customWidth="1"/>
    <col min="3" max="3" width="42.109375" customWidth="1"/>
    <col min="6" max="6" width="23.6640625" customWidth="1"/>
    <col min="7" max="7" width="18.44140625" hidden="1" customWidth="1"/>
    <col min="8" max="8" width="38" customWidth="1"/>
    <col min="9" max="9" width="17.109375" customWidth="1"/>
    <col min="10" max="10" width="8.77734375" style="19"/>
    <col min="11" max="11" width="18" customWidth="1"/>
  </cols>
  <sheetData>
    <row r="1" spans="1:12" s="2" customFormat="1" ht="12.75" customHeight="1">
      <c r="A1" s="62" t="s">
        <v>2</v>
      </c>
      <c r="B1" s="122"/>
      <c r="C1" s="122"/>
      <c r="D1" s="122"/>
      <c r="E1" s="6"/>
      <c r="F1" s="6"/>
      <c r="G1" s="6"/>
      <c r="H1" s="6"/>
      <c r="I1" s="6"/>
      <c r="J1" s="99"/>
      <c r="K1" s="6"/>
      <c r="L1" s="7"/>
    </row>
    <row r="2" spans="1:12" s="2" customFormat="1" ht="11.25" customHeight="1" thickBot="1">
      <c r="A2" s="7"/>
      <c r="B2" s="123"/>
      <c r="C2" s="123"/>
      <c r="D2" s="123"/>
      <c r="E2" s="6"/>
      <c r="F2" s="6"/>
      <c r="G2" s="6"/>
      <c r="H2" s="6"/>
      <c r="I2" s="6"/>
      <c r="J2" s="99"/>
      <c r="K2" s="6"/>
      <c r="L2" s="7"/>
    </row>
    <row r="3" spans="1:12" s="3" customFormat="1" ht="15" customHeight="1">
      <c r="A3" s="63" t="s">
        <v>31</v>
      </c>
      <c r="B3" s="104" t="s">
        <v>35</v>
      </c>
      <c r="C3" s="104"/>
      <c r="D3" s="105"/>
      <c r="E3" s="66"/>
      <c r="F3" s="66"/>
      <c r="G3" s="66"/>
      <c r="H3" s="66"/>
      <c r="I3" s="132"/>
      <c r="J3" s="132"/>
      <c r="K3" s="132"/>
      <c r="L3" s="9"/>
    </row>
    <row r="4" spans="1:12" s="3" customFormat="1" ht="13.2">
      <c r="A4" s="68" t="s">
        <v>32</v>
      </c>
      <c r="B4" s="133" t="s">
        <v>36</v>
      </c>
      <c r="C4" s="134"/>
      <c r="D4" s="135"/>
      <c r="E4" s="66"/>
      <c r="F4" s="66"/>
      <c r="G4" s="66"/>
      <c r="H4" s="66"/>
      <c r="I4" s="132"/>
      <c r="J4" s="132"/>
      <c r="K4" s="132"/>
      <c r="L4" s="9"/>
    </row>
    <row r="5" spans="1:12" s="77" customFormat="1" ht="26.4">
      <c r="A5" s="68" t="s">
        <v>25</v>
      </c>
      <c r="B5" s="125" t="s">
        <v>37</v>
      </c>
      <c r="C5" s="126"/>
      <c r="D5" s="127"/>
      <c r="E5" s="75"/>
      <c r="F5" s="75"/>
      <c r="G5" s="75"/>
      <c r="H5" s="75"/>
      <c r="I5" s="131"/>
      <c r="J5" s="131"/>
      <c r="K5" s="131"/>
      <c r="L5" s="76"/>
    </row>
    <row r="6" spans="1:12" s="3" customFormat="1" ht="15" customHeight="1">
      <c r="A6" s="12" t="s">
        <v>33</v>
      </c>
      <c r="B6" s="88">
        <f>COUNTIF(J12:J17,"Pass")</f>
        <v>0</v>
      </c>
      <c r="C6" s="10" t="s">
        <v>34</v>
      </c>
      <c r="D6" s="13">
        <f>COUNTIF(J10:J736,"Pending")</f>
        <v>0</v>
      </c>
      <c r="E6" s="8"/>
      <c r="F6" s="8"/>
      <c r="G6" s="8"/>
      <c r="H6" s="8"/>
      <c r="I6" s="132"/>
      <c r="J6" s="132"/>
      <c r="K6" s="132"/>
      <c r="L6" s="9"/>
    </row>
    <row r="7" spans="1:12" s="3" customFormat="1" ht="15" customHeight="1" thickBot="1">
      <c r="A7" s="14" t="s">
        <v>0</v>
      </c>
      <c r="B7" s="89">
        <f>COUNTIF(J12:J17,"Fail")</f>
        <v>0</v>
      </c>
      <c r="C7" s="29" t="s">
        <v>24</v>
      </c>
      <c r="D7" s="64">
        <f>COUNTA(A12:A17) -15</f>
        <v>-15</v>
      </c>
      <c r="E7" s="67"/>
      <c r="F7" s="67"/>
      <c r="G7" s="67"/>
      <c r="H7" s="67"/>
      <c r="I7" s="132"/>
      <c r="J7" s="132"/>
      <c r="K7" s="132"/>
      <c r="L7" s="9"/>
    </row>
    <row r="8" spans="1:12" s="3" customFormat="1" ht="15" customHeight="1">
      <c r="A8" s="124"/>
      <c r="B8" s="124"/>
      <c r="C8" s="124"/>
      <c r="D8" s="124"/>
      <c r="E8" s="8"/>
      <c r="F8" s="8"/>
      <c r="G8" s="8"/>
      <c r="H8" s="8"/>
      <c r="I8" s="8"/>
      <c r="J8" s="100"/>
      <c r="K8" s="100"/>
      <c r="L8" s="9"/>
    </row>
    <row r="9" spans="1:12" s="79" customFormat="1" ht="12" customHeight="1">
      <c r="A9" s="107" t="s">
        <v>26</v>
      </c>
      <c r="B9" s="138" t="s">
        <v>3</v>
      </c>
      <c r="C9" s="107" t="s">
        <v>12</v>
      </c>
      <c r="D9" s="116" t="s">
        <v>38</v>
      </c>
      <c r="E9" s="117"/>
      <c r="F9" s="117"/>
      <c r="G9" s="118"/>
      <c r="H9" s="112" t="s">
        <v>39</v>
      </c>
      <c r="I9" s="106" t="s">
        <v>23</v>
      </c>
      <c r="J9" s="106" t="s">
        <v>40</v>
      </c>
      <c r="K9" s="106" t="s">
        <v>27</v>
      </c>
      <c r="L9" s="78"/>
    </row>
    <row r="10" spans="1:12" s="3" customFormat="1" ht="12" customHeight="1">
      <c r="A10" s="115"/>
      <c r="B10" s="139"/>
      <c r="C10" s="115"/>
      <c r="D10" s="119"/>
      <c r="E10" s="120"/>
      <c r="F10" s="120"/>
      <c r="G10" s="121"/>
      <c r="H10" s="107"/>
      <c r="I10" s="107"/>
      <c r="J10" s="107"/>
      <c r="K10" s="107"/>
      <c r="L10" s="9"/>
    </row>
    <row r="11" spans="1:12" s="80" customFormat="1" ht="1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7"/>
    </row>
    <row r="12" spans="1:12" s="4" customFormat="1" ht="13.2">
      <c r="A12" s="128"/>
      <c r="B12" s="129"/>
      <c r="C12" s="129"/>
      <c r="D12" s="129"/>
      <c r="E12" s="129"/>
      <c r="F12" s="129"/>
      <c r="G12" s="129"/>
      <c r="H12" s="129"/>
      <c r="I12" s="129"/>
      <c r="J12" s="129"/>
      <c r="K12" s="130"/>
    </row>
    <row r="13" spans="1:12" s="4" customFormat="1" ht="13.2" outlineLevel="1">
      <c r="A13" s="84"/>
      <c r="B13" s="90"/>
      <c r="C13" s="83"/>
      <c r="D13" s="114"/>
      <c r="E13" s="113"/>
      <c r="F13" s="113"/>
      <c r="G13" s="82"/>
      <c r="H13" s="101"/>
      <c r="I13" s="96"/>
      <c r="J13" s="83"/>
      <c r="K13" s="81"/>
    </row>
    <row r="14" spans="1:12" s="4" customFormat="1" ht="13.2" outlineLevel="1">
      <c r="A14" s="108"/>
      <c r="B14" s="109"/>
      <c r="C14" s="109"/>
      <c r="D14" s="94"/>
      <c r="E14" s="94"/>
      <c r="F14" s="94"/>
      <c r="G14" s="94"/>
      <c r="H14" s="94"/>
      <c r="I14" s="94"/>
      <c r="J14" s="94"/>
      <c r="K14" s="95"/>
    </row>
    <row r="15" spans="1:12" s="4" customFormat="1" ht="63.75" customHeight="1" outlineLevel="1">
      <c r="A15" s="84"/>
      <c r="B15" s="92"/>
      <c r="C15" s="93"/>
      <c r="D15" s="103"/>
      <c r="E15" s="101"/>
      <c r="F15" s="101"/>
      <c r="G15" s="82"/>
      <c r="H15" s="101"/>
      <c r="I15" s="91"/>
      <c r="J15" s="83"/>
      <c r="K15" s="81"/>
    </row>
    <row r="16" spans="1:12" s="4" customFormat="1" ht="13.2" outlineLevel="1">
      <c r="A16" s="108"/>
      <c r="B16" s="109"/>
      <c r="C16" s="109"/>
      <c r="D16" s="94"/>
      <c r="E16" s="94"/>
      <c r="F16" s="94"/>
      <c r="G16" s="94"/>
      <c r="H16" s="94"/>
      <c r="I16" s="94"/>
      <c r="J16" s="94"/>
      <c r="K16" s="95"/>
    </row>
    <row r="17" spans="1:11" s="4" customFormat="1" ht="63.75" customHeight="1" outlineLevel="1">
      <c r="A17" s="84"/>
      <c r="B17" s="102"/>
      <c r="C17" s="83"/>
      <c r="D17" s="110"/>
      <c r="E17" s="111"/>
      <c r="F17" s="111"/>
      <c r="G17" s="82"/>
      <c r="H17" s="101"/>
      <c r="I17" s="91"/>
      <c r="J17" s="83"/>
      <c r="K17" s="81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4">
    <mergeCell ref="D17:F17"/>
    <mergeCell ref="K9:K10"/>
    <mergeCell ref="A11:K11"/>
    <mergeCell ref="A12:K12"/>
    <mergeCell ref="D13:F13"/>
    <mergeCell ref="A14:C14"/>
    <mergeCell ref="A16:C16"/>
    <mergeCell ref="I6:K6"/>
    <mergeCell ref="I7:K7"/>
    <mergeCell ref="A8:D8"/>
    <mergeCell ref="A9:A10"/>
    <mergeCell ref="B9:B10"/>
    <mergeCell ref="C9:C10"/>
    <mergeCell ref="D9:G10"/>
    <mergeCell ref="H9:H10"/>
    <mergeCell ref="I9:I10"/>
    <mergeCell ref="J9:J10"/>
    <mergeCell ref="B1:D2"/>
    <mergeCell ref="B3:D3"/>
    <mergeCell ref="I3:K3"/>
    <mergeCell ref="B4:D4"/>
    <mergeCell ref="I4:K4"/>
    <mergeCell ref="B5:D5"/>
    <mergeCell ref="I5:K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4" sqref="C4"/>
    </sheetView>
  </sheetViews>
  <sheetFormatPr defaultColWidth="8.77734375" defaultRowHeight="13.2"/>
  <cols>
    <col min="3" max="3" width="22.77734375" customWidth="1"/>
    <col min="7" max="7" width="18.77734375" customWidth="1"/>
  </cols>
  <sheetData>
    <row r="1" spans="1:7" ht="22.2">
      <c r="A1" s="15" t="s">
        <v>7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3.8">
      <c r="B3" s="19" t="s">
        <v>6</v>
      </c>
      <c r="C3" s="17"/>
      <c r="D3" s="17"/>
      <c r="E3" s="17"/>
      <c r="F3" s="17"/>
      <c r="G3" s="18"/>
    </row>
    <row r="4" spans="1:7" ht="13.8">
      <c r="B4" s="19" t="s">
        <v>1</v>
      </c>
      <c r="C4" s="98"/>
      <c r="D4" s="19"/>
      <c r="E4" s="19"/>
      <c r="F4" s="19"/>
      <c r="G4" s="19"/>
    </row>
    <row r="5" spans="1:7" ht="13.8">
      <c r="A5" s="19"/>
      <c r="B5" s="19"/>
      <c r="C5" s="19"/>
      <c r="D5" s="19"/>
      <c r="E5" s="19"/>
      <c r="F5" s="19"/>
      <c r="G5" s="19"/>
    </row>
    <row r="6" spans="1:7" ht="13.8">
      <c r="A6" s="19"/>
      <c r="B6" s="19"/>
      <c r="C6" s="19"/>
      <c r="D6" s="19"/>
      <c r="E6" s="19"/>
      <c r="F6" s="19"/>
      <c r="G6" s="19"/>
    </row>
    <row r="7" spans="1:7" ht="26.4">
      <c r="A7" s="19"/>
      <c r="B7" s="53" t="s">
        <v>13</v>
      </c>
      <c r="C7" s="54" t="s">
        <v>14</v>
      </c>
      <c r="D7" s="55" t="s">
        <v>33</v>
      </c>
      <c r="E7" s="54" t="s">
        <v>0</v>
      </c>
      <c r="F7" s="54" t="s">
        <v>34</v>
      </c>
      <c r="G7" s="56" t="s">
        <v>15</v>
      </c>
    </row>
    <row r="8" spans="1:7" s="65" customFormat="1" ht="13.8">
      <c r="A8" s="69"/>
      <c r="B8" s="70">
        <v>1</v>
      </c>
      <c r="C8" s="71" t="str">
        <f>'Xác thực &amp; phân quyền'!B4</f>
        <v>CR100 - Export to excel</v>
      </c>
      <c r="D8" s="72">
        <f>'Xác thực &amp; phân quyền'!B6</f>
        <v>0</v>
      </c>
      <c r="E8" s="71">
        <f>'Xác thực &amp; phân quyền'!B7</f>
        <v>0</v>
      </c>
      <c r="F8" s="71">
        <f>'Xác thực &amp; phân quyền'!D6</f>
        <v>0</v>
      </c>
      <c r="G8" s="72">
        <f>'Xác thực &amp; phân quyền'!D7</f>
        <v>-15</v>
      </c>
    </row>
    <row r="9" spans="1:7" ht="13.8">
      <c r="A9" s="19"/>
      <c r="B9" s="32"/>
      <c r="C9" s="31"/>
      <c r="D9" s="74"/>
      <c r="E9" s="30"/>
      <c r="F9" s="30"/>
      <c r="G9" s="33"/>
    </row>
    <row r="10" spans="1:7" ht="13.8">
      <c r="A10" s="19"/>
      <c r="B10" s="57"/>
      <c r="C10" s="58" t="s">
        <v>16</v>
      </c>
      <c r="D10" s="59">
        <f>SUM(D6:D9)</f>
        <v>0</v>
      </c>
      <c r="E10" s="59">
        <f>SUM(E6:E9)</f>
        <v>0</v>
      </c>
      <c r="F10" s="59">
        <f>SUM(F6:F9)</f>
        <v>0</v>
      </c>
      <c r="G10" s="60">
        <f>SUM(G6:G9)</f>
        <v>-15</v>
      </c>
    </row>
    <row r="11" spans="1:7" ht="13.8">
      <c r="A11" s="19"/>
      <c r="B11" s="20"/>
      <c r="C11" s="19"/>
      <c r="D11" s="21"/>
      <c r="E11" s="22"/>
      <c r="F11" s="22"/>
      <c r="G11" s="22"/>
    </row>
    <row r="12" spans="1:7" ht="13.8">
      <c r="A12" s="19"/>
      <c r="B12" s="19"/>
      <c r="C12" s="19" t="s">
        <v>17</v>
      </c>
      <c r="D12" s="19"/>
      <c r="E12" s="23">
        <f>(D10+E10)*100/G10</f>
        <v>0</v>
      </c>
      <c r="F12" s="19" t="s">
        <v>18</v>
      </c>
      <c r="G12" s="24"/>
    </row>
    <row r="13" spans="1:7" ht="13.8">
      <c r="A13" s="19"/>
      <c r="B13" s="19"/>
      <c r="C13" s="19" t="s">
        <v>19</v>
      </c>
      <c r="D13" s="19"/>
      <c r="E13" s="23">
        <f>D10*100/G10</f>
        <v>0</v>
      </c>
      <c r="F13" s="19" t="s">
        <v>18</v>
      </c>
      <c r="G13" s="24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Xác thực &amp; phân quyền</vt:lpstr>
      <vt:lpstr>Người dùng &amp; phòng ban</vt:lpstr>
      <vt:lpstr>Quản lý khoá học</vt:lpstr>
      <vt:lpstr>Ghi danh &amp; tiến độ học</vt:lpstr>
      <vt:lpstr>Bài kiểm tra &amp; làm bài</vt:lpstr>
      <vt:lpstr>Chứng chỉ</vt:lpstr>
      <vt:lpstr>Diễn đàn khoá học</vt:lpstr>
      <vt:lpstr>Trợ lý ảo &amp; hàng đợi trainer</vt:lpstr>
      <vt:lpstr>Thông báo &amp; điểm thưởng</vt:lpstr>
      <vt:lpstr>Trang quản trị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Thái Hùng</cp:lastModifiedBy>
  <cp:lastPrinted>2006-08-02T10:15:15Z</cp:lastPrinted>
  <dcterms:created xsi:type="dcterms:W3CDTF">2002-07-27T17:17:25Z</dcterms:created>
  <dcterms:modified xsi:type="dcterms:W3CDTF">2026-08-12T15:45:43Z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