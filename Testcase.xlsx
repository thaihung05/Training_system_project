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Open_University\HK9_2025_2026\DO_AN\Training_system_project\"/>
    </mc:Choice>
  </mc:AlternateContent>
  <xr:revisionPtr revIDLastSave="0" documentId="13_ncr:1_{17EDD0C6-5F87-4D3A-A3F3-00AA885ECBAE}" xr6:coauthVersionLast="47" xr6:coauthVersionMax="47" xr10:uidLastSave="{00000000-0000-0000-0000-000000000000}"/>
  <bookViews>
    <workbookView xWindow="-108" yWindow="252" windowWidth="23256" windowHeight="12816" tabRatio="821" firstSheet="5" activeTab="10" xr2:uid="{00000000-000D-0000-FFFF-FFFF00000000}"/>
  </bookViews>
  <sheets>
    <sheet name="Cover" sheetId="1" r:id="rId1"/>
    <sheet name="Xác thực &amp; phân quyền" sheetId="2" r:id="rId2"/>
    <sheet name="Người dùng &amp; phòng ban" sheetId="3" r:id="rId3"/>
    <sheet name="Quản lý khoá học" sheetId="4" r:id="rId4"/>
    <sheet name="Ghi danh &amp; tiến độ học" sheetId="5" r:id="rId5"/>
    <sheet name="Bài kiểm tra &amp; làm bài" sheetId="6" r:id="rId6"/>
    <sheet name="Chứng chỉ" sheetId="7" r:id="rId7"/>
    <sheet name="Diễn đàn khoá học" sheetId="8" r:id="rId8"/>
    <sheet name="Trợ lý ảo &amp; hàng đợi trainer" sheetId="9" r:id="rId9"/>
    <sheet name="Thông báo &amp; điểm thưởng" sheetId="10" r:id="rId10"/>
    <sheet name="Trang quản trị" sheetId="11" r:id="rId11"/>
    <sheet name="Test Report" sheetId="12" r:id="rId12"/>
  </sheets>
  <definedNames>
    <definedName name="ACTION">#REF!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7" i="12" l="1"/>
  <c r="C16" i="12"/>
  <c r="C15" i="12"/>
  <c r="C14" i="12"/>
  <c r="C13" i="12"/>
  <c r="C12" i="12"/>
  <c r="C11" i="12"/>
  <c r="C10" i="12"/>
  <c r="C9" i="12"/>
  <c r="C8" i="12"/>
  <c r="D7" i="11"/>
  <c r="G17" i="12" s="1"/>
  <c r="B7" i="11"/>
  <c r="E17" i="12" s="1"/>
  <c r="D6" i="11"/>
  <c r="F17" i="12" s="1"/>
  <c r="B6" i="11"/>
  <c r="D17" i="12" s="1"/>
  <c r="D7" i="10"/>
  <c r="G16" i="12" s="1"/>
  <c r="B7" i="10"/>
  <c r="E16" i="12" s="1"/>
  <c r="D6" i="10"/>
  <c r="F16" i="12" s="1"/>
  <c r="B6" i="10"/>
  <c r="D16" i="12" s="1"/>
  <c r="D7" i="9"/>
  <c r="G15" i="12" s="1"/>
  <c r="B7" i="9"/>
  <c r="E15" i="12" s="1"/>
  <c r="D6" i="9"/>
  <c r="F15" i="12" s="1"/>
  <c r="B6" i="9"/>
  <c r="D15" i="12" s="1"/>
  <c r="D7" i="8"/>
  <c r="G14" i="12" s="1"/>
  <c r="B7" i="8"/>
  <c r="E14" i="12" s="1"/>
  <c r="D6" i="8"/>
  <c r="F14" i="12" s="1"/>
  <c r="B6" i="8"/>
  <c r="D14" i="12" s="1"/>
  <c r="D7" i="7"/>
  <c r="G13" i="12" s="1"/>
  <c r="B7" i="7"/>
  <c r="E13" i="12" s="1"/>
  <c r="D6" i="7"/>
  <c r="F13" i="12" s="1"/>
  <c r="B6" i="7"/>
  <c r="D13" i="12" s="1"/>
  <c r="D7" i="6"/>
  <c r="G12" i="12" s="1"/>
  <c r="B7" i="6"/>
  <c r="E12" i="12" s="1"/>
  <c r="D6" i="6"/>
  <c r="F12" i="12" s="1"/>
  <c r="B6" i="6"/>
  <c r="D12" i="12" s="1"/>
  <c r="D7" i="5"/>
  <c r="G11" i="12" s="1"/>
  <c r="B7" i="5"/>
  <c r="E11" i="12" s="1"/>
  <c r="D6" i="5"/>
  <c r="F11" i="12" s="1"/>
  <c r="B6" i="5"/>
  <c r="D11" i="12" s="1"/>
  <c r="D7" i="4"/>
  <c r="G10" i="12" s="1"/>
  <c r="B7" i="4"/>
  <c r="E10" i="12" s="1"/>
  <c r="D6" i="4"/>
  <c r="F10" i="12" s="1"/>
  <c r="B6" i="4"/>
  <c r="D10" i="12" s="1"/>
  <c r="D7" i="3"/>
  <c r="G9" i="12" s="1"/>
  <c r="B7" i="3"/>
  <c r="E9" i="12" s="1"/>
  <c r="D6" i="3"/>
  <c r="F9" i="12" s="1"/>
  <c r="B6" i="3"/>
  <c r="D9" i="12" s="1"/>
  <c r="D7" i="2"/>
  <c r="G8" i="12" s="1"/>
  <c r="G18" i="12" s="1"/>
  <c r="B7" i="2"/>
  <c r="E8" i="12" s="1"/>
  <c r="D6" i="2"/>
  <c r="F8" i="12" s="1"/>
  <c r="B6" i="2"/>
  <c r="D8" i="12" s="1"/>
  <c r="E18" i="12" l="1"/>
  <c r="F18" i="12"/>
  <c r="D18" i="12"/>
  <c r="E21" i="12"/>
  <c r="E20" i="12"/>
</calcChain>
</file>

<file path=xl/sharedStrings.xml><?xml version="1.0" encoding="utf-8"?>
<sst xmlns="http://schemas.openxmlformats.org/spreadsheetml/2006/main" count="768" uniqueCount="421">
  <si>
    <t>TEST CASE</t>
  </si>
  <si>
    <t>Version:</t>
  </si>
  <si>
    <t>Issue date:</t>
  </si>
  <si>
    <t>Project Name:</t>
  </si>
  <si>
    <t>Training System</t>
  </si>
  <si>
    <t>Project Code:</t>
  </si>
  <si>
    <t>TLH</t>
  </si>
  <si>
    <t>Record of change:</t>
  </si>
  <si>
    <t>Effective Date</t>
  </si>
  <si>
    <t>Version</t>
  </si>
  <si>
    <t>Change location</t>
  </si>
  <si>
    <t>Change description</t>
  </si>
  <si>
    <t>Originator</t>
  </si>
  <si>
    <t>Reviewer/
Approver</t>
  </si>
  <si>
    <t>Reference</t>
  </si>
  <si>
    <t>1</t>
  </si>
  <si>
    <t>ALL</t>
  </si>
  <si>
    <t>Create Test case</t>
  </si>
  <si>
    <t>Thái Hùng</t>
  </si>
  <si>
    <t>1.1</t>
  </si>
  <si>
    <t>Xác thực &amp; phân quyền và Người dùng &amp; Phòng ban</t>
  </si>
  <si>
    <t xml:space="preserve">Viết và chạy 23 test case cho 2 module
Phát hiện 2 lỗi	</t>
  </si>
  <si>
    <t>AUTH-09, AUTH-10</t>
  </si>
  <si>
    <r>
      <rPr>
        <b/>
        <sz val="10"/>
        <rFont val="Tahoma"/>
        <family val="2"/>
        <charset val="1"/>
      </rPr>
      <t>System Name</t>
    </r>
    <r>
      <rPr>
        <b/>
        <sz val="10"/>
        <rFont val="Noto Sans CJK SC"/>
        <family val="2"/>
      </rPr>
      <t>：</t>
    </r>
  </si>
  <si>
    <r>
      <rPr>
        <b/>
        <sz val="10"/>
        <rFont val="Tahoma"/>
        <family val="2"/>
        <charset val="1"/>
      </rPr>
      <t>Module Code</t>
    </r>
    <r>
      <rPr>
        <b/>
        <sz val="10"/>
        <rFont val="Noto Sans CJK SC"/>
        <family val="2"/>
      </rPr>
      <t>：</t>
    </r>
  </si>
  <si>
    <t>AUTH - Xác thực &amp; phân quyền</t>
  </si>
  <si>
    <t>Test requirement:</t>
  </si>
  <si>
    <t>Đăng nhập, phiên làm việc và chặn truy cập sai vai trò.</t>
  </si>
  <si>
    <t>Pass</t>
  </si>
  <si>
    <t>Pending</t>
  </si>
  <si>
    <t>Fail</t>
  </si>
  <si>
    <t>Number of test cases:</t>
  </si>
  <si>
    <t>ID</t>
  </si>
  <si>
    <t>Test Case Description</t>
  </si>
  <si>
    <t>Test Case Procedure</t>
  </si>
  <si>
    <t>Expected Results</t>
  </si>
  <si>
    <t>Actual Results</t>
  </si>
  <si>
    <t>Test date</t>
  </si>
  <si>
    <t>Status</t>
  </si>
  <si>
    <t>Note</t>
  </si>
  <si>
    <t>Test Xác thực &amp; phân quyền</t>
  </si>
  <si>
    <t>AUTH-01</t>
  </si>
  <si>
    <t xml:space="preserve"> Đăng nhập đúng tài khoản Admin</t>
  </si>
  <si>
    <t>Cấp token, chuyển vào khu Admin, menu đúng quyền.</t>
  </si>
  <si>
    <t>AUTH-02</t>
  </si>
  <si>
    <t xml:space="preserve"> Đăng nhập đúng tài khoản Trainer</t>
  </si>
  <si>
    <t>Vào trang Trainer, không có quyền Admin.</t>
  </si>
  <si>
    <t>AUTH-03</t>
  </si>
  <si>
    <t xml:space="preserve"> Đăng nhập đúng tài khoản Employee</t>
  </si>
  <si>
    <t>Vào trang học viên, không có menu quản trị.</t>
  </si>
  <si>
    <t>AUTH-04</t>
  </si>
  <si>
    <t xml:space="preserve"> Từ chối mật khẩu sai</t>
  </si>
  <si>
    <t>Không cấp token, báo lỗi chung, không lộ tài khoản.</t>
  </si>
  <si>
    <t>AUTH-05</t>
  </si>
  <si>
    <t xml:space="preserve"> Từ chối username không tồn tại</t>
  </si>
  <si>
    <t>Không cấp token, thông báo giống sai mật khẩu.</t>
  </si>
  <si>
    <t>AUTH-06</t>
  </si>
  <si>
    <t xml:space="preserve"> Kiểm tra trường đăng nhập bắt buộc</t>
  </si>
  <si>
    <t>Form chặn gửi, chỉ rõ trường bắt buộc.</t>
  </si>
  <si>
    <t>AUTH-07</t>
  </si>
  <si>
    <t>Không cấp quyền, báo tài khoản không hoạt động.</t>
  </si>
  <si>
    <t>AUTH-08</t>
  </si>
  <si>
    <t>Xóa phiên, về login, không mở lại trang bảo vệ.</t>
  </si>
  <si>
    <t>AUTH-10</t>
  </si>
  <si>
    <t xml:space="preserve"> Đã đăng nhập truy cập /login</t>
  </si>
  <si>
    <t>Tự chuyển về trang chủ đúng role, không hiện form login.</t>
  </si>
  <si>
    <t>AUTH-11</t>
  </si>
  <si>
    <t>Frontend nạp lại /profile, menu/quyền cập nhật, route trái quyền bị chặn.</t>
  </si>
  <si>
    <t>AUTH-12</t>
  </si>
  <si>
    <t>API 401, frontend xóa phiên và về login.</t>
  </si>
  <si>
    <t>ORG - Người dùng &amp; Chain / Region / Store</t>
  </si>
  <si>
    <t>Quản lý tài khoản và cấu trúc Chain – Region – Store.</t>
  </si>
  <si>
    <t>Test Người dùng &amp; phòng ban</t>
  </si>
  <si>
    <t>ORG-01</t>
  </si>
  <si>
    <t>Tạo đúng role, active và Store.</t>
  </si>
  <si>
    <t>ORG-02</t>
  </si>
  <si>
    <t>Role và Store (nếu chọn) lưu đúng.</t>
  </si>
  <si>
    <t>ORG-03</t>
  </si>
  <si>
    <t>Từ chối; không tạo bản ghi mới.</t>
  </si>
  <si>
    <t>ORG-04</t>
  </si>
  <si>
    <t>ORG-05</t>
  </si>
  <si>
    <t>Form/API từ chối và chỉ rõ lỗi.</t>
  </si>
  <si>
    <t>ORG-06</t>
  </si>
  <si>
    <t>Không tạo user; báo lỗi định dạng/độ dài.</t>
  </si>
  <si>
    <t>ORG-07</t>
  </si>
  <si>
    <t>Dữ liệu mới lưu đúng; bộ lọc dùng Store mới.</t>
  </si>
  <si>
    <t>ORG-08</t>
  </si>
  <si>
    <t>User không đăng nhập/tiếp tục dùng quyền cũ.</t>
  </si>
  <si>
    <t>ORG-10</t>
  </si>
  <si>
    <t>Cả hai xuất hiện trong danh sách/chọn phạm vi.</t>
  </si>
  <si>
    <t>ORG-11</t>
  </si>
  <si>
    <t>Store lưu đúng hai quan hệ.</t>
  </si>
  <si>
    <t>ORG-12</t>
  </si>
  <si>
    <t>Không tạo Store không hoàn chỉnh.</t>
  </si>
  <si>
    <t>ORG-13</t>
  </si>
  <si>
    <t>Quan hệ mới hiển thị và được dùng đúng.</t>
  </si>
  <si>
    <t>ORG-14</t>
  </si>
  <si>
    <t>Chỉ hiện Store thỏa C1 AND R1.</t>
  </si>
  <si>
    <t>CRS - Quản lý khóa học &amp; phạm vi</t>
  </si>
  <si>
    <t>Vòng đời khóa, phạm vi Chain/Region và quyền Trainer.</t>
  </si>
  <si>
    <t>Test Quản lý khoá học</t>
  </si>
  <si>
    <t>CRS-01</t>
  </si>
  <si>
    <t>Khóa inactive/draft kể cả client gửi active=true.</t>
  </si>
  <si>
    <t>CRS-02</t>
  </si>
  <si>
    <t>Không tạo; chỉ rõ lỗi.</t>
  </si>
  <si>
    <t>CRS-03</t>
  </si>
  <si>
    <t>Chains/Regions rỗng; mọi Store hợp lệ thuộc scope.</t>
  </si>
  <si>
    <t>CRS-04</t>
  </si>
  <si>
    <t>Chỉ Store thuộc C1; không giới hạn Region.</t>
  </si>
  <si>
    <t>CRS-05</t>
  </si>
  <si>
    <t>Chỉ Store thuộc R1; không giới hạn Chain.</t>
  </si>
  <si>
    <t>CRS-06</t>
  </si>
  <si>
    <t>Chỉ Store thỏa C1 AND R1.</t>
  </si>
  <si>
    <t>CRS-07</t>
  </si>
  <si>
    <t>Từ chối; khóa vẫn draft.</t>
  </si>
  <si>
    <t>CRS-08</t>
  </si>
  <si>
    <t>Khóa active và hiện đúng scope.</t>
  </si>
  <si>
    <t>CRS-10</t>
  </si>
  <si>
    <t>Từ chối; không công khai đề lỗi.</t>
  </si>
  <si>
    <t>CRS-11</t>
  </si>
  <si>
    <t>Chỉ khóa active thỏa (Chain rỗng/C1) AND (Region rỗng/R1).</t>
  </si>
  <si>
    <t>CRS-12</t>
  </si>
  <si>
    <t>Chỉ khóa active có cả Chains/Regions rỗng.</t>
  </si>
  <si>
    <t>CRS-13</t>
  </si>
  <si>
    <t>Hiện mọi khóa do Trainer tạo.</t>
  </si>
  <si>
    <t>CRS-14</t>
  </si>
  <si>
    <t>403/404; không lộ dữ liệu.</t>
  </si>
  <si>
    <t>CRS-15</t>
  </si>
  <si>
    <t>Backend từ chối; dữ liệu cũ giữ nguyên.</t>
  </si>
  <si>
    <t>CRS-16</t>
  </si>
  <si>
    <t>Cập nhật thành công; enrollment/progress không đổi.</t>
  </si>
  <si>
    <t>ENR - Ghi danh &amp; tiến độ học</t>
  </si>
  <si>
    <t>Điều kiện theo Store, chống trùng và tiến độ tổng hợp.</t>
  </si>
  <si>
    <t>Test Ghi danh &amp; tiến độ học</t>
  </si>
  <si>
    <t>ENR-01</t>
  </si>
  <si>
    <t>Tạo 1 enrollment, progress và thông báo.</t>
  </si>
  <si>
    <t>ENR-02</t>
  </si>
  <si>
    <t>Skipped/từ chối; không tạo dữ liệu phụ.</t>
  </si>
  <si>
    <t>ENR-03</t>
  </si>
  <si>
    <t>Từ chối; không enrollment/progress/thông báo.</t>
  </si>
  <si>
    <t>ENR-04</t>
  </si>
  <si>
    <t>Từ chối và nêu lý do không Store.</t>
  </si>
  <si>
    <t>ENR-05</t>
  </si>
  <si>
    <t>Mọi Employee hợp lệ đều được ghi danh.</t>
  </si>
  <si>
    <t>ENR-06</t>
  </si>
  <si>
    <t>Thành công.</t>
  </si>
  <si>
    <t>ENR-07</t>
  </si>
  <si>
    <t>Từ chối; không dữ liệu phụ.</t>
  </si>
  <si>
    <t>ENR-08</t>
  </si>
  <si>
    <t>ENR-10</t>
  </si>
  <si>
    <t>Chỉ Employee hợp lệ ở S1; backend kiểm tra từng người.</t>
  </si>
  <si>
    <t>ENR-11</t>
  </si>
  <si>
    <t>Từ chối toàn yêu cầu.</t>
  </si>
  <si>
    <t>ENR-12</t>
  </si>
  <si>
    <t>Không tạo enrollment.</t>
  </si>
  <si>
    <t>ENR-13</t>
  </si>
  <si>
    <t>Không có bản ghi/dữ liệu phụ trùng.</t>
  </si>
  <si>
    <t>ENR-14</t>
  </si>
  <si>
    <t>Chỉ 1 enrollment; request còn lại kết thúc an toàn.</t>
  </si>
  <si>
    <t>ENR-15</t>
  </si>
  <si>
    <t>Progress=(1+1)/(2+2)=50%; chưa completedAt/chứng chỉ.</t>
  </si>
  <si>
    <t>ENR-16</t>
  </si>
  <si>
    <t>100%; completedAt đặt một lần; cấp đúng 1 chứng chỉ.</t>
  </si>
  <si>
    <t>TST - Bài kiểm tra, câu hỏi &amp; lượt làm</t>
  </si>
  <si>
    <t>Tính hợp lệ của đề, quyền làm bài, chấm điểm và giới hạn lượt.</t>
  </si>
  <si>
    <t>Test Bài kiểm tra &amp; làm bài</t>
  </si>
  <si>
    <t>TST-01</t>
  </si>
  <si>
    <t>Tạo thành công; chưa active nếu đề chưa hợp lệ.</t>
  </si>
  <si>
    <t>TST-02</t>
  </si>
  <si>
    <t>Form/API từ chối.</t>
  </si>
  <si>
    <t>TST-03</t>
  </si>
  <si>
    <t>Câu hợp lệ và có thể active.</t>
  </si>
  <si>
    <t>TST-04</t>
  </si>
  <si>
    <t>Không thể active; báo cần &gt;=2 option.</t>
  </si>
  <si>
    <t>TST-05</t>
  </si>
  <si>
    <t>Không thể active.</t>
  </si>
  <si>
    <t>TST-06</t>
  </si>
  <si>
    <t>Không thể active; yêu cầu đúng chính xác 1.</t>
  </si>
  <si>
    <t>TST-07</t>
  </si>
  <si>
    <t>Câu mới inactive và chưa xuất hiện trong đề.</t>
  </si>
  <si>
    <t>TST-08</t>
  </si>
  <si>
    <t>TST-10</t>
  </si>
  <si>
    <t>Tạo 1 attempt mở; không lộ cờ đáp án đúng.</t>
  </si>
  <si>
    <t>TST-11</t>
  </si>
  <si>
    <t>403/validation; không attempt.</t>
  </si>
  <si>
    <t>TST-12</t>
  </si>
  <si>
    <t>Từ chối; không lộ đề/không attempt.</t>
  </si>
  <si>
    <t>TST-13</t>
  </si>
  <si>
    <t>Từ chối trước khi tạo attempt.</t>
  </si>
  <si>
    <t>TST-14</t>
  </si>
  <si>
    <t>Chỉ 1 attempt mở.</t>
  </si>
  <si>
    <t>TST-15</t>
  </si>
  <si>
    <t>Điểm/passed/submittedAt đúng; progress cập nhật một lần.</t>
  </si>
  <si>
    <t>TST-16</t>
  </si>
  <si>
    <t>Failed lưu đúng; chưa cộng test vào progress.</t>
  </si>
  <si>
    <t>TST-17</t>
  </si>
  <si>
    <t>Từ chối; không vượt giới hạn.</t>
  </si>
  <si>
    <t>TST-18</t>
  </si>
  <si>
    <t>score=0, failed, submittedAt; không còn attempt mở.</t>
  </si>
  <si>
    <t>CRT - Chứng chỉ</t>
  </si>
  <si>
    <t>Cấp đúng điều kiện, chống trùng và bảo vệ PDF/chủ sở hữu.</t>
  </si>
  <si>
    <t>Test Chứng chỉ</t>
  </si>
  <si>
    <t>CRT-01</t>
  </si>
  <si>
    <t>Tạo đúng 1 chứng chỉ cho learner/course.</t>
  </si>
  <si>
    <t>CRT-02</t>
  </si>
  <si>
    <t>Không chứng chỉ; completedAt trống.</t>
  </si>
  <si>
    <t>CRT-03</t>
  </si>
  <si>
    <t>Vẫn chỉ 1 chứng chỉ.</t>
  </si>
  <si>
    <t>CRT-04</t>
  </si>
  <si>
    <t>Chỉ hiện chứng chỉ của tài khoản hiện tại.</t>
  </si>
  <si>
    <t>CRT-05</t>
  </si>
  <si>
    <t>403/404; không lộ PDF/dữ liệu.</t>
  </si>
  <si>
    <t>CRT-06</t>
  </si>
  <si>
    <t>Cập nhật thành công.</t>
  </si>
  <si>
    <t>CRT-07</t>
  </si>
  <si>
    <t>Từ chối theo SecurityConfig.</t>
  </si>
  <si>
    <t>CRT-08</t>
  </si>
  <si>
    <t>Từ chối; không lưu file/URL.</t>
  </si>
  <si>
    <t>CRT-10</t>
  </si>
  <si>
    <t>Chỉ http/https; có rel=noopener.</t>
  </si>
  <si>
    <t>FRM - Diễn đàn khóa học</t>
  </si>
  <si>
    <t>Hỏi đáp đúng khóa, đúng người tham gia và đúng quyền.</t>
  </si>
  <si>
    <t>Test Diễn đàn khoá học</t>
  </si>
  <si>
    <t>FRM-01</t>
  </si>
  <si>
    <t>Bài gắn đúng user/course và hiển thị.</t>
  </si>
  <si>
    <t>FRM-02</t>
  </si>
  <si>
    <t>Từ chối đọc/đăng.</t>
  </si>
  <si>
    <t>FRM-03</t>
  </si>
  <si>
    <t>Không tạo bài; báo bắt buộc.</t>
  </si>
  <si>
    <t>FRM-04</t>
  </si>
  <si>
    <t>Lưu đúng tác giả; learner thấy kết quả.</t>
  </si>
  <si>
    <t>FRM-05</t>
  </si>
  <si>
    <t>Từ chối; nội dung không đổi.</t>
  </si>
  <si>
    <t>FRM-06</t>
  </si>
  <si>
    <t>Thành công; dữ liệu liên quan nhất quán.</t>
  </si>
  <si>
    <t>FRM-07</t>
  </si>
  <si>
    <t>Đúng thứ tự; không lặp/mất bài.</t>
  </si>
  <si>
    <t>FRM-08</t>
  </si>
  <si>
    <t>Không thực thi script/XSS; Unicode đúng.</t>
  </si>
  <si>
    <t>BOT - Trợ lý ảo &amp; hàng đợi Trainer</t>
  </si>
  <si>
    <t>Hội thoại, lịch sử và chuyển câu hỏi đến Trainer đúng quyền.</t>
  </si>
  <si>
    <t>Test Trợ lý ảo &amp; hàng đợi trainer</t>
  </si>
  <si>
    <t>BOT-01</t>
  </si>
  <si>
    <t>Nhận phản hồi; lịch sử đúng thứ tự.</t>
  </si>
  <si>
    <t>BOT-02</t>
  </si>
  <si>
    <t>Không tạo bản ghi; báo cần nội dung.</t>
  </si>
  <si>
    <t>BOT-03</t>
  </si>
  <si>
    <t>Từ chối/trả rỗng; không lộ dữ liệu.</t>
  </si>
  <si>
    <t>BOT-04</t>
  </si>
  <si>
    <t>Phiên mới độc lập; phiên cũ giữ nguyên.</t>
  </si>
  <si>
    <t>BOT-05</t>
  </si>
  <si>
    <t>Chuyển đúng một lần, giữ người hỏi/ngữ cảnh.</t>
  </si>
  <si>
    <t>BOT-06</t>
  </si>
  <si>
    <t>Chỉ dữ liệu được quyền xử lý.</t>
  </si>
  <si>
    <t>BOT-07</t>
  </si>
  <si>
    <t>Chuyển đã xử lý; người hỏi nhận kết quả/thông báo.</t>
  </si>
  <si>
    <t>BOT-08</t>
  </si>
  <si>
    <t>Không tạo hai kết quả mâu thuẫn.</t>
  </si>
  <si>
    <t>NTF - Thông báo &amp; điểm thưởng</t>
  </si>
  <si>
    <t>Thông báo đúng sự kiện và điểm nhất quán, không làm hỏng luồng chính.</t>
  </si>
  <si>
    <t>Test Thông báo &amp; điểm thưởng</t>
  </si>
  <si>
    <t>NTF-01</t>
  </si>
  <si>
    <t>Đúng 1 thông báo/link đúng khóa.</t>
  </si>
  <si>
    <t>NTF-02</t>
  </si>
  <si>
    <t>Báo khóa bị ẩn nhưng enrollment giữ lại.</t>
  </si>
  <si>
    <t>NTF-03</t>
  </si>
  <si>
    <t>Thông báo đúng người.</t>
  </si>
  <si>
    <t>NTF-04</t>
  </si>
  <si>
    <t>Thông báo đúng, link không hỏng.</t>
  </si>
  <si>
    <t>NTF-05</t>
  </si>
  <si>
    <t>Số chưa đọc giảm đúng 1 và giữ sau reload.</t>
  </si>
  <si>
    <t>NTF-06</t>
  </si>
  <si>
    <t>Từ chối; dữ liệu A không đổi.</t>
  </si>
  <si>
    <t>NTF-07</t>
  </si>
  <si>
    <t>Cộng đúng điểm một lần.</t>
  </si>
  <si>
    <t>NTF-08</t>
  </si>
  <si>
    <t>Lesson vẫn complete; không điểm; không lỗi 500.</t>
  </si>
  <si>
    <t>ADM - Trang quản trị &amp; vận hành</t>
  </si>
  <si>
    <t>Điều hướng, danh sách, upload/import và tính nhất quán UI.</t>
  </si>
  <si>
    <t>Test Trang quản trị</t>
  </si>
  <si>
    <t>ADM-01</t>
  </si>
  <si>
    <t>Thành phần tải đúng; không lỗi quyền/console nghiêm trọng.</t>
  </si>
  <si>
    <t>ADM-02</t>
  </si>
  <si>
    <t>Router/API chặn; không lộ dữ liệu.</t>
  </si>
  <si>
    <t>ADM-03</t>
  </si>
  <si>
    <t>Kết quả/tổng/trang nhất quán.</t>
  </si>
  <si>
    <t>ADM-04</t>
  </si>
  <si>
    <t>Danh sách đúng dữ liệu mới và filter.</t>
  </si>
  <si>
    <t>ADM-05</t>
  </si>
  <si>
    <t>Có phản hồi rõ; không bảng trắng/thông báo kỹ thuật khó hiểu.</t>
  </si>
  <si>
    <t>ADM-06</t>
  </si>
  <si>
    <t>Xanh-vàng, spacing/typography nhất quán; không badge/callout trang trí kiểu AI.</t>
  </si>
  <si>
    <t>ADM-07</t>
  </si>
  <si>
    <t>Không che nút/tràn; bảng cuộn hợp lý.</t>
  </si>
  <si>
    <t>ADM-08</t>
  </si>
  <si>
    <t>Ảnh hợp lệ thành công; loại sai bị từ chối, không file rác.</t>
  </si>
  <si>
    <t>TEST REPORT</t>
  </si>
  <si>
    <t>Note:</t>
  </si>
  <si>
    <t>Date</t>
  </si>
  <si>
    <t>No</t>
  </si>
  <si>
    <t>Module code</t>
  </si>
  <si>
    <t>Number of  test cases</t>
  </si>
  <si>
    <t>Sub total</t>
  </si>
  <si>
    <t>Test coverage</t>
  </si>
  <si>
    <t>%</t>
  </si>
  <si>
    <t>Test successful coverage</t>
  </si>
  <si>
    <r>
      <t>System Name</t>
    </r>
    <r>
      <rPr>
        <b/>
        <sz val="12"/>
        <rFont val="Noto Sans CJK SC"/>
        <family val="2"/>
      </rPr>
      <t>：</t>
    </r>
  </si>
  <si>
    <r>
      <t>Module Code</t>
    </r>
    <r>
      <rPr>
        <b/>
        <sz val="12"/>
        <rFont val="Noto Sans CJK SC"/>
        <family val="2"/>
      </rPr>
      <t>：</t>
    </r>
  </si>
  <si>
    <t xml:space="preserve"> Từ chối tài khoản inactive</t>
  </si>
  <si>
    <t xml:space="preserve"> Đăng xuất và chặn Back</t>
  </si>
  <si>
    <t xml:space="preserve"> Đổi role giữa phiên</t>
  </si>
  <si>
    <t xml:space="preserve"> Token hết hạn hoặc bị sửa</t>
  </si>
  <si>
    <t xml:space="preserve"> Tạo Employee và gán Store</t>
  </si>
  <si>
    <t xml:space="preserve"> Chặn username trùng</t>
  </si>
  <si>
    <t xml:space="preserve"> Chặn email trùng</t>
  </si>
  <si>
    <t xml:space="preserve"> Vô hiệu hóa tài khoản</t>
  </si>
  <si>
    <t xml:space="preserve"> Tạo Chain và Region</t>
  </si>
  <si>
    <t xml:space="preserve"> Tạo Store đúng Chain và Region</t>
  </si>
  <si>
    <t xml:space="preserve"> Chặn Store thiếu Chain hoặc Region</t>
  </si>
  <si>
    <t xml:space="preserve"> Lọc Store theo Chain + Region</t>
  </si>
  <si>
    <t xml:space="preserve"> Tạo Trainer hợp lệ</t>
  </si>
  <si>
    <t xml:space="preserve"> Kiểm tra trường user bắt buộc</t>
  </si>
  <si>
    <t xml:space="preserve"> Kiểm tra email và mật khẩu sai</t>
  </si>
  <si>
    <t xml:space="preserve"> Cập nhật user và đổi Store</t>
  </si>
  <si>
    <t xml:space="preserve"> Cập nhật Chain/Region của Store</t>
  </si>
  <si>
    <t xml:space="preserve"> Tìm kiếm và phân trang</t>
  </si>
  <si>
    <t xml:space="preserve"> Bộ lọc sau CRUD/reload</t>
  </si>
  <si>
    <t xml:space="preserve"> Loading, empty và error state</t>
  </si>
  <si>
    <t xml:space="preserve"> UI đồng bộ tone Điện Máy Xanh</t>
  </si>
  <si>
    <t xml:space="preserve"> Responsive quản trị</t>
  </si>
  <si>
    <t xml:space="preserve"> Thông báo kích hoạt lại user</t>
  </si>
  <si>
    <t xml:space="preserve"> Đếm chưa đọc và mark read</t>
  </si>
  <si>
    <t xml:space="preserve"> Gửi câu hỏi cho trợ lý</t>
  </si>
  <si>
    <t xml:space="preserve"> Chặn câu hỏi trống</t>
  </si>
  <si>
    <t xml:space="preserve"> Tạo phiên mới tách lịch sử</t>
  </si>
  <si>
    <t xml:space="preserve"> Chặn nội dung trống</t>
  </si>
  <si>
    <t xml:space="preserve"> Phân trang thảo luận</t>
  </si>
  <si>
    <t xml:space="preserve"> Hiển thị nội dung đặc biệt an toàn</t>
  </si>
  <si>
    <t xml:space="preserve"> Liên kết chứng chỉ ngoài an toàn</t>
  </si>
  <si>
    <t xml:space="preserve"> Kiểm tra passScore/maxAttempts</t>
  </si>
  <si>
    <t xml:space="preserve"> Kiểm tra trường bắt buộc</t>
  </si>
  <si>
    <t xml:space="preserve"> Sửa metadata sau enrollment</t>
  </si>
  <si>
    <t xml:space="preserve"> Mở dashboard Admin</t>
  </si>
  <si>
    <t xml:space="preserve"> Chặn non-Admin vào Admin</t>
  </si>
  <si>
    <t xml:space="preserve"> Upload ảnh đúng giới hạn</t>
  </si>
  <si>
    <t xml:space="preserve"> Thông báo ghi danh</t>
  </si>
  <si>
    <t xml:space="preserve"> Thông báo khóa bị vô hiệu hóa</t>
  </si>
  <si>
    <t xml:space="preserve"> Thông báo hủy ghi danh</t>
  </si>
  <si>
    <t xml:space="preserve"> Chặn đọc/xóa notification người khác</t>
  </si>
  <si>
    <t xml:space="preserve"> Cộng điểm hoàn thành lesson có rule</t>
  </si>
  <si>
    <t xml:space="preserve"> Thiếu PointRule không phá complete</t>
  </si>
  <si>
    <t xml:space="preserve"> Bảo vệ lịch sử theo user</t>
  </si>
  <si>
    <t xml:space="preserve"> Chuyển câu chưa giải đáp vào hàng đợi</t>
  </si>
  <si>
    <t xml:space="preserve"> Trainer xem hàng đợi phù hợp</t>
  </si>
  <si>
    <t xml:space="preserve"> Trainer trả lời câu pending</t>
  </si>
  <si>
    <t xml:space="preserve"> Chống hai Trainer xử lý đồng thời</t>
  </si>
  <si>
    <t xml:space="preserve"> Learner đã ghi danh đăng câu hỏi</t>
  </si>
  <si>
    <t xml:space="preserve"> Chặn learner chưa ghi danh</t>
  </si>
  <si>
    <t xml:space="preserve"> Trainer quản lý khóa trả lời</t>
  </si>
  <si>
    <t xml:space="preserve"> Trainer khác không sửa/xóa nội dung</t>
  </si>
  <si>
    <t xml:space="preserve"> Admin quản trị diễn đàn</t>
  </si>
  <si>
    <t xml:space="preserve"> Cấp chứng chỉ khi hoàn thành thật 100%</t>
  </si>
  <si>
    <t xml:space="preserve"> Không cấp khi chưa đủ progress</t>
  </si>
  <si>
    <t xml:space="preserve"> Không cấp trùng</t>
  </si>
  <si>
    <t xml:space="preserve"> Xem Chứng chỉ của tôi</t>
  </si>
  <si>
    <t xml:space="preserve"> Chặn xem chứng chỉ người khác</t>
  </si>
  <si>
    <t xml:space="preserve"> Admin cập nhật PDF</t>
  </si>
  <si>
    <t xml:space="preserve"> Chặn non-Admin cập nhật PDF</t>
  </si>
  <si>
    <t xml:space="preserve"> Chặn file giả PDF</t>
  </si>
  <si>
    <t xml:space="preserve"> Tạo bài kiểm tra mới</t>
  </si>
  <si>
    <t xml:space="preserve"> Tạo câu với hai option và một đáp án đúng</t>
  </si>
  <si>
    <t xml:space="preserve"> Chặn câu dưới hai option</t>
  </si>
  <si>
    <t xml:space="preserve"> Chặn câu không có đáp án đúng</t>
  </si>
  <si>
    <t xml:space="preserve"> Chặn câu có nhiều đáp án đúng</t>
  </si>
  <si>
    <t xml:space="preserve"> Câu mới trên test active mặc định inactive</t>
  </si>
  <si>
    <t xml:space="preserve"> Chặn sửa đề/cấu hình sau enrollment</t>
  </si>
  <si>
    <t xml:space="preserve"> Bắt đầu test hợp lệ</t>
  </si>
  <si>
    <t xml:space="preserve"> Chặn non-Employee bắt đầu test</t>
  </si>
  <si>
    <t xml:space="preserve"> Chặn Employee chưa ghi danh</t>
  </si>
  <si>
    <t xml:space="preserve"> Chặn test inactive hoặc đề lỗi</t>
  </si>
  <si>
    <t xml:space="preserve"> Không tạo hai attempt mở</t>
  </si>
  <si>
    <t xml:space="preserve"> Nộp bài đạt</t>
  </si>
  <si>
    <t xml:space="preserve"> Nộp bài không đạt</t>
  </si>
  <si>
    <t xml:space="preserve"> Giới hạn maxAttempts</t>
  </si>
  <si>
    <t xml:space="preserve"> Bỏ lượt đang mở</t>
  </si>
  <si>
    <t xml:space="preserve"> Ghi danh Employee hợp lệ</t>
  </si>
  <si>
    <t xml:space="preserve"> Chặn role không phải Employee</t>
  </si>
  <si>
    <t xml:space="preserve"> Chặn Employee inactive</t>
  </si>
  <si>
    <t xml:space="preserve"> Chặn Employee không Store</t>
  </si>
  <si>
    <t xml:space="preserve"> Ghi danh khóa toàn hệ thống</t>
  </si>
  <si>
    <t xml:space="preserve"> Ghi danh đúng giao Chain + Region</t>
  </si>
  <si>
    <t xml:space="preserve"> Chặn Store sai Chain</t>
  </si>
  <si>
    <t xml:space="preserve"> Chặn Store sai Region</t>
  </si>
  <si>
    <t xml:space="preserve"> Ghi danh theo Store</t>
  </si>
  <si>
    <t xml:space="preserve"> Chặn Store ngoài scope</t>
  </si>
  <si>
    <t xml:space="preserve"> Chặn khóa inactive/chưa sẵn sàng</t>
  </si>
  <si>
    <t xml:space="preserve"> Không tạo enrollment trùng</t>
  </si>
  <si>
    <t xml:space="preserve"> Chống trùng do hai request đồng thời</t>
  </si>
  <si>
    <t xml:space="preserve"> Tính progress lesson + active test</t>
  </si>
  <si>
    <t xml:space="preserve"> Hoàn tất 100% và cấp chứng chỉ</t>
  </si>
  <si>
    <t xml:space="preserve"> Khóa mới luôn là draft</t>
  </si>
  <si>
    <t xml:space="preserve"> Phạm vi toàn hệ thống</t>
  </si>
  <si>
    <t xml:space="preserve"> Phạm vi chỉ Chain</t>
  </si>
  <si>
    <t xml:space="preserve"> Phạm vi chỉ Region</t>
  </si>
  <si>
    <t xml:space="preserve"> Phạm vi giao Chain + Region</t>
  </si>
  <si>
    <t xml:space="preserve"> Chặn mở khóa chưa có nội dung</t>
  </si>
  <si>
    <t xml:space="preserve"> Mở khóa có một lesson</t>
  </si>
  <si>
    <t xml:space="preserve"> Chặn mở khóa có test lỗi</t>
  </si>
  <si>
    <t xml:space="preserve"> Danh mục Trainer lọc theo Store</t>
  </si>
  <si>
    <t xml:space="preserve"> Trainer không Store chỉ thấy khóa toàn công ty</t>
  </si>
  <si>
    <t xml:space="preserve"> Khóa của tôi không bị lọc Store</t>
  </si>
  <si>
    <t xml:space="preserve"> Chặn xem khóa ẩn của Trainer khác bằng ID</t>
  </si>
  <si>
    <t xml:space="preserve"> Khóa phạm vi/nội dung sau enrollment</t>
  </si>
  <si>
    <t>Bước 1: Đăng nhập "nv.dmx.q1", nhấn nút tròn nổi (chat widget) ở góc dưới màn hình.
Bước 2: Ở ô "Nhập câu hỏi...", gõ "Làm sao để xem lại khóa học đã hoàn thành?".
Bước 3: Nhấn nút gửi (Send).
Bước 4: Quan sát bong bóng "đang gõ" (3 chấm) xuất hiện, sau đó được thay bằng câu trả lời của trợ lý.
Bước 5: Đóng widget rồi mở lại, xác nhận lịch sử chat vẫn hiển thị đúng thứ tự câu hỏi/trả lời vừa gửi.</t>
  </si>
  <si>
    <t>Bước 1: Mở chat widget, để trống ô nhập, quan sát nút gửi bị disabled.
Bước 2: Gõ vài dấu cách, quan sát nút gửi vẫn disabled.
Bước 3: Xác nhận không có tin nhắn nào được thêm vào khung chat.</t>
  </si>
  <si>
    <t>Bước 1: Đăng nhập "nv.dmx.thuduc" (id11, khác chủ sở hữu session).
Bước 2: Dùng Postman với token "nv.dmx.thuduc" gọi GET http://localhost:8080/TrainingSystem/api/secure/chat-history/session/SEED-CHAT-001.
Bước 3: Quan sát response trả về 403, không lộ nội dung câu hỏi/trả lời của nv.dmx.q1.</t>
  </si>
  <si>
    <t>Bước 1: Mở chat widget của "nv.dmx.q1", xác nhận thấy lại lịch sử của BOT-01.
Bước 2: Mở DevTools &gt; Application &gt; Local Storage, xoá key "chat_session_id" (mô phỏng tạo phiên mới nếu UI không có nút riêng).
Bước 3: Tải lại trang, mở lại chat widget, gõ 1 câu hỏi mới, ví dụ "Câu hỏi phiên mới".
Bước 4: Quan sát khung chat trống trơn trước khi gửi (không còn thấy lịch sử BOT-01).
Bước 5: Dùng Postman với token nv.dmx.q1 gọi GET .../chat-history/session/SEED-CHAT-001 (phiên cũ), xác nhận dữ liệu câu hỏi cũ vẫn còn nguyên, không bị mất hay ghi đè.</t>
  </si>
  <si>
    <t>Bước 1: Đăng nhập Employee bất kỳ, mở chat widget, gửi câu hỏi "Hôm nay công ty có sự kiện gì đặc biệt không?".
Bước 2: Quan sát nếu bot không tìm được câu trả lời phù hợp, khung chat hiện "Trợ lý ảo chưa tìm thấy câu trả lời cho câu hỏi này. Câu hỏi của bạn đã được chuyển cho trainer, sẽ được phản hồi sớm nhất.".
Bước 3: Đăng nhập bằng 1 trainer đủ quyền xử lý (ví dụ trainer.toanhe), vào /chat/queue, tab "Chờ trả lời".
Bước 4: Xác nhận câu hỏi vừa gửi xuất hiện đúng 1 lần trong danh sách, giữ đúng tên người hỏi và nội dung.</t>
  </si>
  <si>
    <t>Bước 1: Đăng nhập "trainer.dmx", vào /chat/queue, tab "Chờ trả lời".
Bước 2: Quan sát danh sách hiển thị câu hỏi "Tôi không mở được tài liệu PDF của bài học." (của nv.dmx.thuduc) và các câu pending khác — xác nhận route này hiển thị mọi câu đang pending trong hệ thống (yêu cầu role TRAINER/ADMIN, không lọc riêng theo khoá do trainer quản lý).</t>
  </si>
  <si>
    <t>Bước 1: Đăng nhập "trainer.dmx", vào /chat/queue, tab "Chờ trả lời", tìm câu hỏi của "Trần Thị Bình".
Bước 2: Nhập vào ô trả lời: "Bạn thử tải lại trang hoặc dùng trình duyệt khác, nếu vẫn lỗi hãy báo IT nhé.".
Bước 3: Nhấn "Gửi trả lời".
Bước 4: Quan sát câu hỏi biến mất khỏi tab "Chờ trả lời", xuất hiện ở tab "Đã trả lời".
Bước 5: Đăng nhập lại bằng "nv.dmx.thuduc", vào "Câu hỏi của tôi" (/my-questions), xác nhận thấy câu trả lời vừa gửi.</t>
  </si>
  <si>
    <t>Bước 1: Chuẩn bị 2 request Postman PUT /api/secure/chat-history/{id}/answer: 1 dùng token "trainer.dmx" với body {"answer":"Trả lời A"}, 1 dùng token "trainer.bhx" với body {"answer":"Trả lời B"}.
Bước 2: Gửi cả 2 request gần như đồng thời.
Bước 3: Kiểm tra database: SELECT answer FROM chat_history WHERE id={id} — xác nhận chỉ có 1 giá trị answer cuối cùng, không có lỗi 500 ở request nào.
Bước 4: Vào /chat/queue tab "Đã trả lời", xác nhận câu hỏi chỉ xuất hiện đúng 1 lần với 1 câu trả lời duy nhất.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</si>
</sst>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mmm\-yy"/>
    <numFmt numFmtId="165" formatCode="[$-409]d\-mmm\-yy;@"/>
    <numFmt numFmtId="166" formatCode="0.000"/>
    <numFmt numFmtId="167" formatCode="m/d/yyyy"/>
  </numFmts>
  <fonts count="24">
    <font>
      <sz val="11"/>
      <name val="ＭＳ Ｐゴシック"/>
      <charset val="128"/>
    </font>
    <font>
      <sz val="9"/>
      <name val="ＭＳ ゴシック"/>
      <family val="3"/>
      <charset val="128"/>
    </font>
    <font>
      <sz val="11"/>
      <name val="Tahoma"/>
      <family val="2"/>
      <charset val="1"/>
    </font>
    <font>
      <b/>
      <sz val="18"/>
      <name val="Tahoma"/>
      <family val="2"/>
      <charset val="1"/>
    </font>
    <font>
      <b/>
      <sz val="10"/>
      <color rgb="FF993300"/>
      <name val="Tahoma"/>
      <family val="2"/>
      <charset val="1"/>
    </font>
    <font>
      <sz val="10"/>
      <name val="Tahoma"/>
      <family val="2"/>
      <charset val="1"/>
    </font>
    <font>
      <b/>
      <sz val="10"/>
      <color rgb="FFFFFFFF"/>
      <name val="Tahoma"/>
      <family val="2"/>
      <charset val="1"/>
    </font>
    <font>
      <b/>
      <sz val="10"/>
      <name val="Tahoma"/>
      <family val="2"/>
      <charset val="1"/>
    </font>
    <font>
      <sz val="8"/>
      <color rgb="FF000000"/>
      <name val="Tahoma"/>
      <family val="2"/>
      <charset val="1"/>
    </font>
    <font>
      <sz val="10"/>
      <color rgb="FF000000"/>
      <name val="Tahoma"/>
      <family val="2"/>
      <charset val="1"/>
    </font>
    <font>
      <b/>
      <sz val="10"/>
      <name val="Noto Sans CJK SC"/>
      <family val="2"/>
    </font>
    <font>
      <sz val="12"/>
      <color rgb="FF000000"/>
      <name val="Tahoma"/>
      <family val="2"/>
      <charset val="1"/>
    </font>
    <font>
      <b/>
      <sz val="12"/>
      <color rgb="FFFFFFFF"/>
      <name val="Tahoma"/>
      <family val="2"/>
      <charset val="1"/>
    </font>
    <font>
      <sz val="12"/>
      <name val="ＭＳ Ｐゴシック"/>
      <charset val="128"/>
    </font>
    <font>
      <b/>
      <sz val="10"/>
      <color rgb="FF000000"/>
      <name val="Tahoma"/>
      <family val="2"/>
      <charset val="1"/>
    </font>
    <font>
      <sz val="10"/>
      <color rgb="FFFF0000"/>
      <name val="Tahoma"/>
      <family val="2"/>
      <charset val="1"/>
    </font>
    <font>
      <sz val="10"/>
      <color rgb="FFFFFFFF"/>
      <name val="Tahoma"/>
      <family val="2"/>
      <charset val="1"/>
    </font>
    <font>
      <b/>
      <sz val="10"/>
      <color rgb="FF0000FF"/>
      <name val="Tahoma"/>
      <family val="2"/>
      <charset val="1"/>
    </font>
    <font>
      <sz val="11"/>
      <name val="ＭＳ Ｐゴシック"/>
      <charset val="128"/>
    </font>
    <font>
      <b/>
      <sz val="12"/>
      <name val="Tahoma"/>
      <family val="2"/>
      <charset val="1"/>
    </font>
    <font>
      <b/>
      <sz val="12"/>
      <name val="Noto Sans CJK SC"/>
      <family val="2"/>
    </font>
    <font>
      <sz val="12"/>
      <name val="Tahoma"/>
      <family val="2"/>
      <charset val="1"/>
    </font>
    <font>
      <b/>
      <sz val="12"/>
      <color rgb="FF000000"/>
      <name val="Tahoma"/>
      <family val="2"/>
      <charset val="1"/>
    </font>
    <font>
      <sz val="12"/>
      <color rgb="FFFF0000"/>
      <name val="Tahoma"/>
      <family val="2"/>
      <charset val="1"/>
    </font>
  </fonts>
  <fills count="7">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003366"/>
        <bgColor rgb="FF333399"/>
      </patternFill>
    </fill>
    <fill>
      <patternFill patternType="solid">
        <fgColor rgb="FF993366"/>
        <bgColor rgb="FF993366"/>
      </patternFill>
    </fill>
    <fill>
      <patternFill patternType="solid">
        <fgColor rgb="FFCCFFFF"/>
        <bgColor rgb="FFCCFFFF"/>
      </patternFill>
    </fill>
  </fills>
  <borders count="26">
    <border>
      <left/>
      <right/>
      <top/>
      <bottom/>
      <diagonal/>
    </border>
    <border>
      <left style="thin">
        <color auto="1"/>
      </left>
      <right style="thin">
        <color auto="1"/>
      </right>
      <top style="medium">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right/>
      <top/>
      <bottom style="medium">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style="thin">
        <color auto="1"/>
      </bottom>
      <diagonal/>
    </border>
    <border>
      <left/>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hair">
        <color auto="1"/>
      </left>
      <right style="thin">
        <color auto="1"/>
      </right>
      <top style="thin">
        <color auto="1"/>
      </top>
      <bottom style="hair">
        <color auto="1"/>
      </bottom>
      <diagonal/>
    </border>
  </borders>
  <cellStyleXfs count="4">
    <xf numFmtId="0" fontId="0" fillId="0" borderId="0"/>
    <xf numFmtId="0" fontId="18" fillId="0" borderId="0"/>
    <xf numFmtId="0" fontId="18" fillId="0" borderId="0"/>
    <xf numFmtId="0" fontId="1" fillId="0" borderId="0"/>
  </cellStyleXfs>
  <cellXfs count="155">
    <xf numFmtId="0" fontId="0" fillId="0" borderId="0" xfId="0"/>
    <xf numFmtId="0" fontId="9" fillId="0" borderId="16" xfId="2" applyFont="1" applyBorder="1" applyAlignment="1">
      <alignment horizontal="left" vertical="top" wrapText="1"/>
    </xf>
    <xf numFmtId="0" fontId="9" fillId="0" borderId="16" xfId="0" applyFont="1" applyBorder="1" applyAlignment="1">
      <alignment horizontal="left" vertical="top" wrapText="1"/>
    </xf>
    <xf numFmtId="0" fontId="9" fillId="2" borderId="0" xfId="0" applyFont="1" applyFill="1" applyAlignment="1">
      <alignment horizontal="center" wrapText="1"/>
    </xf>
    <xf numFmtId="0" fontId="2" fillId="0" borderId="0" xfId="0" applyFont="1"/>
    <xf numFmtId="0" fontId="2" fillId="2" borderId="0" xfId="0" applyFont="1" applyFill="1"/>
    <xf numFmtId="0" fontId="3" fillId="2" borderId="0" xfId="0" applyFont="1" applyFill="1"/>
    <xf numFmtId="0" fontId="4" fillId="2" borderId="0" xfId="0" applyFont="1" applyFill="1"/>
    <xf numFmtId="0" fontId="5" fillId="2" borderId="0" xfId="0" applyFont="1" applyFill="1" applyAlignment="1">
      <alignment horizontal="left"/>
    </xf>
    <xf numFmtId="0" fontId="5" fillId="2" borderId="0" xfId="0" applyFont="1" applyFill="1"/>
    <xf numFmtId="164" fontId="5" fillId="0" borderId="0" xfId="0" applyNumberFormat="1" applyFont="1" applyAlignment="1">
      <alignment horizontal="left"/>
    </xf>
    <xf numFmtId="0" fontId="5" fillId="0" borderId="0" xfId="0" applyFont="1"/>
    <xf numFmtId="0" fontId="4" fillId="0" borderId="0" xfId="0" applyFont="1"/>
    <xf numFmtId="0" fontId="2" fillId="0" borderId="0" xfId="0" applyFont="1" applyAlignment="1">
      <alignment vertical="center"/>
    </xf>
    <xf numFmtId="165" fontId="6" fillId="3" borderId="2" xfId="0" applyNumberFormat="1" applyFont="1" applyFill="1" applyBorder="1" applyAlignment="1">
      <alignment horizontal="center" vertical="center"/>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xf>
    <xf numFmtId="165" fontId="5" fillId="0" borderId="5" xfId="0" applyNumberFormat="1" applyFont="1" applyBorder="1" applyAlignment="1">
      <alignment horizontal="center" vertical="center"/>
    </xf>
    <xf numFmtId="49" fontId="5" fillId="0" borderId="6" xfId="0" applyNumberFormat="1" applyFont="1" applyBorder="1" applyAlignment="1">
      <alignment horizontal="center" vertical="center"/>
    </xf>
    <xf numFmtId="0" fontId="5" fillId="0" borderId="6" xfId="0" applyFont="1" applyBorder="1" applyAlignment="1">
      <alignment horizontal="center" vertical="center"/>
    </xf>
    <xf numFmtId="164" fontId="5" fillId="0" borderId="6" xfId="0" applyNumberFormat="1" applyFont="1" applyBorder="1" applyAlignment="1">
      <alignment horizontal="left" vertical="center"/>
    </xf>
    <xf numFmtId="164" fontId="5" fillId="0" borderId="6" xfId="0" applyNumberFormat="1" applyFont="1" applyBorder="1" applyAlignment="1">
      <alignment horizontal="center" vertical="center"/>
    </xf>
    <xf numFmtId="0" fontId="5" fillId="0" borderId="7" xfId="0" applyFont="1" applyBorder="1" applyAlignment="1">
      <alignment horizontal="left" vertical="center" wrapText="1"/>
    </xf>
    <xf numFmtId="0" fontId="5" fillId="0" borderId="8" xfId="0" applyFont="1" applyBorder="1" applyAlignment="1">
      <alignment vertical="center" wrapText="1"/>
    </xf>
    <xf numFmtId="0" fontId="5" fillId="0" borderId="6" xfId="0" applyFont="1" applyBorder="1" applyAlignment="1">
      <alignment horizontal="center" vertical="center" wrapText="1"/>
    </xf>
    <xf numFmtId="164" fontId="5" fillId="0" borderId="6" xfId="0" applyNumberFormat="1" applyFont="1" applyBorder="1" applyAlignment="1">
      <alignment horizontal="left" vertical="center" wrapText="1"/>
    </xf>
    <xf numFmtId="0" fontId="5" fillId="0" borderId="0" xfId="0" applyFont="1" applyAlignment="1">
      <alignment vertical="center"/>
    </xf>
    <xf numFmtId="164" fontId="5" fillId="0" borderId="6" xfId="0" applyNumberFormat="1" applyFont="1" applyBorder="1" applyAlignment="1">
      <alignment horizontal="center" vertical="center" wrapText="1"/>
    </xf>
    <xf numFmtId="165" fontId="5" fillId="0" borderId="5" xfId="0" applyNumberFormat="1" applyFont="1" applyBorder="1" applyAlignment="1">
      <alignment vertical="center"/>
    </xf>
    <xf numFmtId="49" fontId="5" fillId="0" borderId="6" xfId="0" applyNumberFormat="1" applyFont="1" applyBorder="1" applyAlignment="1">
      <alignment vertical="center"/>
    </xf>
    <xf numFmtId="0" fontId="5" fillId="0" borderId="6" xfId="0" applyFont="1" applyBorder="1" applyAlignment="1">
      <alignment vertical="center"/>
    </xf>
    <xf numFmtId="0" fontId="5" fillId="0" borderId="8" xfId="0" applyFont="1" applyBorder="1" applyAlignment="1">
      <alignment vertical="center"/>
    </xf>
    <xf numFmtId="0" fontId="2" fillId="0" borderId="8" xfId="0" applyFont="1" applyBorder="1" applyAlignment="1">
      <alignment vertical="center"/>
    </xf>
    <xf numFmtId="165" fontId="5" fillId="0" borderId="9" xfId="0" applyNumberFormat="1" applyFont="1" applyBorder="1" applyAlignment="1">
      <alignment vertical="center"/>
    </xf>
    <xf numFmtId="49" fontId="5" fillId="0" borderId="10" xfId="0" applyNumberFormat="1" applyFont="1" applyBorder="1" applyAlignment="1">
      <alignment vertical="center"/>
    </xf>
    <xf numFmtId="0" fontId="5" fillId="0" borderId="10" xfId="0" applyFont="1" applyBorder="1" applyAlignment="1">
      <alignment vertical="center"/>
    </xf>
    <xf numFmtId="0" fontId="5" fillId="0" borderId="11" xfId="0" applyFont="1" applyBorder="1" applyAlignment="1">
      <alignment vertical="center"/>
    </xf>
    <xf numFmtId="0" fontId="7" fillId="2" borderId="0" xfId="2" applyFont="1" applyFill="1"/>
    <xf numFmtId="0" fontId="8" fillId="2" borderId="0" xfId="0" applyFont="1" applyFill="1" applyAlignment="1">
      <alignment wrapText="1"/>
    </xf>
    <xf numFmtId="0" fontId="9" fillId="2" borderId="0" xfId="0" applyFont="1" applyFill="1" applyAlignment="1">
      <alignment wrapText="1"/>
    </xf>
    <xf numFmtId="0" fontId="8" fillId="2" borderId="0" xfId="0" applyFont="1" applyFill="1"/>
    <xf numFmtId="0" fontId="8" fillId="0" borderId="0" xfId="0" applyFont="1"/>
    <xf numFmtId="0" fontId="7" fillId="2" borderId="13" xfId="2" applyFont="1" applyFill="1" applyBorder="1" applyAlignment="1">
      <alignment horizontal="left" wrapText="1"/>
    </xf>
    <xf numFmtId="0" fontId="5" fillId="2" borderId="0" xfId="2" applyFont="1" applyFill="1" applyAlignment="1">
      <alignment horizontal="left" wrapText="1"/>
    </xf>
    <xf numFmtId="0" fontId="9" fillId="2" borderId="0" xfId="0" applyFont="1" applyFill="1"/>
    <xf numFmtId="0" fontId="9" fillId="0" borderId="0" xfId="0" applyFont="1"/>
    <xf numFmtId="0" fontId="7" fillId="2" borderId="14" xfId="2" applyFont="1" applyFill="1" applyBorder="1" applyAlignment="1">
      <alignment horizontal="left" vertical="center" wrapText="1"/>
    </xf>
    <xf numFmtId="0" fontId="5" fillId="2" borderId="0" xfId="2" applyFont="1" applyFill="1" applyAlignment="1">
      <alignment horizontal="left" vertical="center" wrapText="1"/>
    </xf>
    <xf numFmtId="0" fontId="9" fillId="2" borderId="0" xfId="0" applyFont="1" applyFill="1" applyAlignment="1">
      <alignment vertical="center" wrapText="1"/>
    </xf>
    <xf numFmtId="0" fontId="9" fillId="0" borderId="0" xfId="0" applyFont="1" applyAlignment="1">
      <alignment vertical="center" wrapText="1"/>
    </xf>
    <xf numFmtId="0" fontId="9" fillId="2" borderId="14" xfId="0" applyFont="1" applyFill="1" applyBorder="1" applyAlignment="1">
      <alignment horizontal="right"/>
    </xf>
    <xf numFmtId="0" fontId="9" fillId="2" borderId="16" xfId="0" applyFont="1" applyFill="1" applyBorder="1" applyAlignment="1">
      <alignment wrapText="1"/>
    </xf>
    <xf numFmtId="0" fontId="9" fillId="2" borderId="16" xfId="0" applyFont="1" applyFill="1" applyBorder="1" applyAlignment="1">
      <alignment horizontal="center" wrapText="1"/>
    </xf>
    <xf numFmtId="0" fontId="9" fillId="2" borderId="15" xfId="0" applyFont="1" applyFill="1" applyBorder="1" applyAlignment="1">
      <alignment horizontal="center" wrapText="1"/>
    </xf>
    <xf numFmtId="0" fontId="9" fillId="2" borderId="17" xfId="0" applyFont="1" applyFill="1" applyBorder="1" applyAlignment="1">
      <alignment horizontal="right"/>
    </xf>
    <xf numFmtId="0" fontId="9" fillId="2" borderId="18" xfId="0" applyFont="1" applyFill="1" applyBorder="1" applyAlignment="1">
      <alignment wrapText="1"/>
    </xf>
    <xf numFmtId="0" fontId="9" fillId="0" borderId="18" xfId="0" applyFont="1" applyBorder="1" applyAlignment="1">
      <alignment horizontal="center"/>
    </xf>
    <xf numFmtId="1" fontId="9" fillId="2" borderId="19" xfId="0" applyNumberFormat="1" applyFont="1" applyFill="1" applyBorder="1" applyAlignment="1">
      <alignment horizontal="center" wrapText="1"/>
    </xf>
    <xf numFmtId="1" fontId="9" fillId="2" borderId="0" xfId="0" applyNumberFormat="1" applyFont="1" applyFill="1" applyAlignment="1">
      <alignment horizontal="center" wrapText="1"/>
    </xf>
    <xf numFmtId="0" fontId="9" fillId="2" borderId="21" xfId="0" applyFont="1" applyFill="1" applyBorder="1" applyAlignment="1">
      <alignment horizontal="center" wrapText="1"/>
    </xf>
    <xf numFmtId="0" fontId="11" fillId="2" borderId="0" xfId="0" applyFont="1" applyFill="1"/>
    <xf numFmtId="0" fontId="11" fillId="0" borderId="0" xfId="0" applyFont="1"/>
    <xf numFmtId="0" fontId="13" fillId="0" borderId="0" xfId="0" applyFont="1"/>
    <xf numFmtId="0" fontId="8" fillId="0" borderId="0" xfId="0" applyFont="1" applyAlignment="1">
      <alignment vertical="top"/>
    </xf>
    <xf numFmtId="166" fontId="9" fillId="0" borderId="16" xfId="0" applyNumberFormat="1" applyFont="1" applyBorder="1" applyAlignment="1">
      <alignment horizontal="left" vertical="top" wrapText="1"/>
    </xf>
    <xf numFmtId="0" fontId="9" fillId="0" borderId="16" xfId="0" applyFont="1" applyBorder="1" applyAlignment="1">
      <alignment vertical="top" wrapText="1"/>
    </xf>
    <xf numFmtId="167" fontId="15" fillId="0" borderId="24" xfId="0" applyNumberFormat="1" applyFont="1" applyBorder="1" applyAlignment="1">
      <alignment horizontal="left" vertical="top" wrapText="1"/>
    </xf>
    <xf numFmtId="166" fontId="9" fillId="0" borderId="16" xfId="2" applyNumberFormat="1" applyFont="1" applyBorder="1" applyAlignment="1">
      <alignment horizontal="left" vertical="top" wrapText="1"/>
    </xf>
    <xf numFmtId="0" fontId="9" fillId="0" borderId="16" xfId="2" applyFont="1" applyBorder="1" applyAlignment="1">
      <alignment vertical="top" wrapText="1"/>
    </xf>
    <xf numFmtId="167" fontId="15" fillId="0" borderId="24" xfId="2" applyNumberFormat="1" applyFont="1" applyBorder="1" applyAlignment="1">
      <alignment horizontal="left" vertical="top" wrapText="1"/>
    </xf>
    <xf numFmtId="0" fontId="3" fillId="0" borderId="0" xfId="1" applyFont="1"/>
    <xf numFmtId="0" fontId="7" fillId="0" borderId="0" xfId="1" applyFont="1"/>
    <xf numFmtId="0" fontId="5" fillId="0" borderId="0" xfId="1" applyFont="1"/>
    <xf numFmtId="165" fontId="5" fillId="0" borderId="0" xfId="1" applyNumberFormat="1" applyFont="1"/>
    <xf numFmtId="165" fontId="5" fillId="0" borderId="5" xfId="0" applyNumberFormat="1" applyFont="1" applyBorder="1" applyAlignment="1">
      <alignment horizontal="center"/>
    </xf>
    <xf numFmtId="0" fontId="6" fillId="3" borderId="2" xfId="0" applyFont="1" applyFill="1" applyBorder="1" applyAlignment="1">
      <alignment horizontal="center"/>
    </xf>
    <xf numFmtId="0" fontId="6" fillId="3" borderId="3" xfId="0" applyFont="1" applyFill="1" applyBorder="1" applyAlignment="1">
      <alignment horizontal="center"/>
    </xf>
    <xf numFmtId="0" fontId="6" fillId="3" borderId="3" xfId="0" applyFont="1" applyFill="1" applyBorder="1" applyAlignment="1">
      <alignment horizontal="center" wrapText="1"/>
    </xf>
    <xf numFmtId="0" fontId="6" fillId="3" borderId="25" xfId="0" applyFont="1" applyFill="1" applyBorder="1" applyAlignment="1">
      <alignment horizontal="center" wrapText="1"/>
    </xf>
    <xf numFmtId="0" fontId="5" fillId="0" borderId="0" xfId="0" applyFont="1" applyAlignment="1">
      <alignment wrapText="1"/>
    </xf>
    <xf numFmtId="0" fontId="5" fillId="0" borderId="5" xfId="0" applyFont="1" applyBorder="1" applyAlignment="1">
      <alignment horizontal="center" vertical="center" wrapText="1"/>
    </xf>
    <xf numFmtId="1" fontId="5" fillId="0" borderId="8" xfId="0" applyNumberFormat="1" applyFont="1" applyBorder="1" applyAlignment="1">
      <alignment horizontal="center" vertical="center" wrapText="1"/>
    </xf>
    <xf numFmtId="0" fontId="0" fillId="0" borderId="0" xfId="0" applyAlignment="1">
      <alignment wrapText="1"/>
    </xf>
    <xf numFmtId="0" fontId="5" fillId="0" borderId="5" xfId="0" applyFont="1" applyBorder="1" applyAlignment="1">
      <alignment horizontal="center"/>
    </xf>
    <xf numFmtId="0" fontId="5" fillId="0" borderId="6" xfId="0" applyFont="1" applyBorder="1" applyAlignment="1">
      <alignment wrapText="1"/>
    </xf>
    <xf numFmtId="0" fontId="5" fillId="0" borderId="6" xfId="0" applyFont="1" applyBorder="1" applyAlignment="1">
      <alignment horizontal="center"/>
    </xf>
    <xf numFmtId="1" fontId="5" fillId="0" borderId="8" xfId="0" applyNumberFormat="1" applyFont="1" applyBorder="1" applyAlignment="1">
      <alignment horizontal="center"/>
    </xf>
    <xf numFmtId="0" fontId="16" fillId="3" borderId="9" xfId="0" applyFont="1" applyFill="1" applyBorder="1" applyAlignment="1">
      <alignment horizontal="center"/>
    </xf>
    <xf numFmtId="0" fontId="6" fillId="3" borderId="10" xfId="0" applyFont="1" applyFill="1" applyBorder="1"/>
    <xf numFmtId="1" fontId="16" fillId="3" borderId="10" xfId="0" applyNumberFormat="1" applyFont="1" applyFill="1" applyBorder="1" applyAlignment="1">
      <alignment horizontal="center"/>
    </xf>
    <xf numFmtId="0" fontId="5" fillId="0" borderId="0" xfId="0" applyFont="1" applyAlignment="1">
      <alignment horizontal="center"/>
    </xf>
    <xf numFmtId="10" fontId="5" fillId="0" borderId="0" xfId="0" applyNumberFormat="1" applyFont="1" applyAlignment="1">
      <alignment horizontal="center"/>
    </xf>
    <xf numFmtId="9" fontId="5" fillId="0" borderId="0" xfId="0" applyNumberFormat="1" applyFont="1" applyAlignment="1">
      <alignment horizontal="center"/>
    </xf>
    <xf numFmtId="2" fontId="17" fillId="0" borderId="0" xfId="0" applyNumberFormat="1" applyFont="1" applyAlignment="1">
      <alignment horizontal="right" wrapText="1"/>
    </xf>
    <xf numFmtId="0" fontId="9" fillId="0" borderId="0" xfId="0" applyFont="1" applyAlignment="1">
      <alignment horizontal="center" wrapText="1"/>
    </xf>
    <xf numFmtId="0" fontId="9" fillId="0" borderId="16" xfId="0" applyFont="1" applyBorder="1" applyAlignment="1">
      <alignment horizontal="left" vertical="top" wrapText="1"/>
    </xf>
    <xf numFmtId="0" fontId="6" fillId="4" borderId="16" xfId="2" applyFont="1" applyFill="1" applyBorder="1" applyAlignment="1">
      <alignment horizontal="center" vertical="center" wrapText="1"/>
    </xf>
    <xf numFmtId="0" fontId="6" fillId="4" borderId="22" xfId="2" applyFont="1" applyFill="1" applyBorder="1" applyAlignment="1">
      <alignment horizontal="center" vertical="center" wrapText="1"/>
    </xf>
    <xf numFmtId="0" fontId="12" fillId="5" borderId="23" xfId="0" applyFont="1" applyFill="1" applyBorder="1" applyAlignment="1">
      <alignment horizontal="left" vertical="center"/>
    </xf>
    <xf numFmtId="0" fontId="14" fillId="6" borderId="16" xfId="2" applyFont="1" applyFill="1" applyBorder="1" applyAlignment="1">
      <alignment horizontal="left" vertical="center" wrapText="1"/>
    </xf>
    <xf numFmtId="0" fontId="6" fillId="4" borderId="22" xfId="2" applyFont="1" applyFill="1" applyBorder="1" applyAlignment="1">
      <alignment vertical="center" wrapText="1"/>
    </xf>
    <xf numFmtId="0" fontId="5" fillId="2" borderId="15" xfId="2" applyFont="1" applyFill="1" applyBorder="1" applyAlignment="1">
      <alignment horizontal="left" vertical="center" wrapText="1"/>
    </xf>
    <xf numFmtId="0" fontId="9" fillId="2" borderId="0" xfId="0" applyFont="1" applyFill="1" applyAlignment="1">
      <alignment horizontal="center" vertical="center" wrapText="1"/>
    </xf>
    <xf numFmtId="0" fontId="9" fillId="2" borderId="0" xfId="0" applyFont="1" applyFill="1" applyAlignment="1">
      <alignment horizontal="center" wrapText="1"/>
    </xf>
    <xf numFmtId="0" fontId="9" fillId="2" borderId="20" xfId="0" applyFont="1" applyFill="1" applyBorder="1" applyAlignment="1">
      <alignment horizontal="center"/>
    </xf>
    <xf numFmtId="0" fontId="8" fillId="2" borderId="12" xfId="0" applyFont="1" applyFill="1" applyBorder="1" applyAlignment="1">
      <alignment horizontal="center" wrapText="1"/>
    </xf>
    <xf numFmtId="0" fontId="5" fillId="2" borderId="1" xfId="2" applyFont="1" applyFill="1" applyBorder="1" applyAlignment="1">
      <alignment horizontal="left" wrapText="1"/>
    </xf>
    <xf numFmtId="0" fontId="5" fillId="2" borderId="15" xfId="2" applyFont="1" applyFill="1" applyBorder="1" applyAlignment="1">
      <alignment horizontal="left" vertical="top" wrapText="1"/>
    </xf>
    <xf numFmtId="0" fontId="9" fillId="0" borderId="16" xfId="2" applyFont="1" applyBorder="1" applyAlignment="1">
      <alignment horizontal="left" vertical="top" wrapText="1"/>
    </xf>
    <xf numFmtId="0" fontId="19" fillId="2" borderId="0" xfId="2" applyFont="1" applyFill="1"/>
    <xf numFmtId="0" fontId="11" fillId="2" borderId="12" xfId="0" applyFont="1" applyFill="1" applyBorder="1" applyAlignment="1">
      <alignment horizontal="center" wrapText="1"/>
    </xf>
    <xf numFmtId="0" fontId="11" fillId="2" borderId="0" xfId="0" applyFont="1" applyFill="1" applyAlignment="1">
      <alignment horizontal="left" wrapText="1"/>
    </xf>
    <xf numFmtId="0" fontId="11" fillId="2" borderId="0" xfId="0" applyFont="1" applyFill="1" applyAlignment="1">
      <alignment wrapText="1"/>
    </xf>
    <xf numFmtId="0" fontId="19" fillId="2" borderId="13" xfId="2" applyFont="1" applyFill="1" applyBorder="1" applyAlignment="1">
      <alignment horizontal="left" wrapText="1"/>
    </xf>
    <xf numFmtId="0" fontId="21" fillId="2" borderId="1" xfId="2" applyFont="1" applyFill="1" applyBorder="1" applyAlignment="1">
      <alignment horizontal="left" wrapText="1"/>
    </xf>
    <xf numFmtId="0" fontId="21" fillId="2" borderId="0" xfId="2" applyFont="1" applyFill="1" applyAlignment="1">
      <alignment horizontal="left" wrapText="1"/>
    </xf>
    <xf numFmtId="0" fontId="11" fillId="2" borderId="0" xfId="0" applyFont="1" applyFill="1" applyAlignment="1">
      <alignment horizontal="center" wrapText="1"/>
    </xf>
    <xf numFmtId="0" fontId="19" fillId="2" borderId="14" xfId="2" applyFont="1" applyFill="1" applyBorder="1" applyAlignment="1">
      <alignment horizontal="left" vertical="center" wrapText="1"/>
    </xf>
    <xf numFmtId="0" fontId="21" fillId="2" borderId="15" xfId="2" applyFont="1" applyFill="1" applyBorder="1" applyAlignment="1">
      <alignment horizontal="left" vertical="top" wrapText="1"/>
    </xf>
    <xf numFmtId="0" fontId="21" fillId="2" borderId="15" xfId="2" applyFont="1" applyFill="1" applyBorder="1" applyAlignment="1">
      <alignment horizontal="left" vertical="center" wrapText="1"/>
    </xf>
    <xf numFmtId="0" fontId="21" fillId="2" borderId="0" xfId="2" applyFont="1" applyFill="1" applyAlignment="1">
      <alignment horizontal="left" vertical="center" wrapText="1"/>
    </xf>
    <xf numFmtId="0" fontId="11" fillId="2" borderId="0" xfId="0" applyFont="1" applyFill="1" applyAlignment="1">
      <alignment horizontal="center" vertical="center" wrapText="1"/>
    </xf>
    <xf numFmtId="0" fontId="11" fillId="2" borderId="0" xfId="0" applyFont="1" applyFill="1" applyAlignment="1">
      <alignment vertical="center" wrapText="1"/>
    </xf>
    <xf numFmtId="0" fontId="11" fillId="0" borderId="0" xfId="0" applyFont="1" applyAlignment="1">
      <alignment vertical="center" wrapText="1"/>
    </xf>
    <xf numFmtId="0" fontId="11" fillId="2" borderId="14" xfId="0" applyFont="1" applyFill="1" applyBorder="1" applyAlignment="1">
      <alignment horizontal="right"/>
    </xf>
    <xf numFmtId="0" fontId="11" fillId="2" borderId="16" xfId="0" applyFont="1" applyFill="1" applyBorder="1" applyAlignment="1">
      <alignment wrapText="1"/>
    </xf>
    <xf numFmtId="0" fontId="11" fillId="2" borderId="16" xfId="0" applyFont="1" applyFill="1" applyBorder="1" applyAlignment="1">
      <alignment horizontal="center" wrapText="1"/>
    </xf>
    <xf numFmtId="0" fontId="11" fillId="2" borderId="15" xfId="0" applyFont="1" applyFill="1" applyBorder="1" applyAlignment="1">
      <alignment horizontal="center" wrapText="1"/>
    </xf>
    <xf numFmtId="0" fontId="11" fillId="2" borderId="0" xfId="0" applyFont="1" applyFill="1" applyAlignment="1">
      <alignment horizontal="center" wrapText="1"/>
    </xf>
    <xf numFmtId="0" fontId="11" fillId="2" borderId="17" xfId="0" applyFont="1" applyFill="1" applyBorder="1" applyAlignment="1">
      <alignment horizontal="right"/>
    </xf>
    <xf numFmtId="0" fontId="11" fillId="2" borderId="18" xfId="0" applyFont="1" applyFill="1" applyBorder="1" applyAlignment="1">
      <alignment wrapText="1"/>
    </xf>
    <xf numFmtId="0" fontId="11" fillId="0" borderId="18" xfId="0" applyFont="1" applyBorder="1" applyAlignment="1">
      <alignment horizontal="center"/>
    </xf>
    <xf numFmtId="1" fontId="11" fillId="2" borderId="19" xfId="0" applyNumberFormat="1" applyFont="1" applyFill="1" applyBorder="1" applyAlignment="1">
      <alignment horizontal="center" wrapText="1"/>
    </xf>
    <xf numFmtId="1" fontId="11" fillId="2" borderId="0" xfId="0" applyNumberFormat="1" applyFont="1" applyFill="1" applyAlignment="1">
      <alignment horizontal="left" wrapText="1"/>
    </xf>
    <xf numFmtId="1" fontId="11" fillId="2" borderId="0" xfId="0" applyNumberFormat="1" applyFont="1" applyFill="1" applyAlignment="1">
      <alignment horizontal="center" wrapText="1"/>
    </xf>
    <xf numFmtId="0" fontId="11" fillId="2" borderId="20" xfId="0" applyFont="1" applyFill="1" applyBorder="1" applyAlignment="1">
      <alignment horizontal="center"/>
    </xf>
    <xf numFmtId="0" fontId="11" fillId="2" borderId="21" xfId="0" applyFont="1" applyFill="1" applyBorder="1" applyAlignment="1">
      <alignment horizontal="center" wrapText="1"/>
    </xf>
    <xf numFmtId="0" fontId="12" fillId="4" borderId="22" xfId="2" applyFont="1" applyFill="1" applyBorder="1" applyAlignment="1">
      <alignment horizontal="center" vertical="center" wrapText="1"/>
    </xf>
    <xf numFmtId="0" fontId="12" fillId="4" borderId="22" xfId="2" applyFont="1" applyFill="1" applyBorder="1" applyAlignment="1">
      <alignment vertical="center" wrapText="1"/>
    </xf>
    <xf numFmtId="0" fontId="12" fillId="4" borderId="16" xfId="2" applyFont="1" applyFill="1" applyBorder="1" applyAlignment="1">
      <alignment horizontal="center" vertical="center" wrapText="1"/>
    </xf>
    <xf numFmtId="0" fontId="22" fillId="6" borderId="16" xfId="2" applyFont="1" applyFill="1" applyBorder="1" applyAlignment="1">
      <alignment horizontal="left" vertical="center" wrapText="1"/>
    </xf>
    <xf numFmtId="0" fontId="11" fillId="0" borderId="0" xfId="0" applyFont="1" applyAlignment="1">
      <alignment vertical="top"/>
    </xf>
    <xf numFmtId="166" fontId="11" fillId="0" borderId="16" xfId="0" applyNumberFormat="1" applyFont="1" applyBorder="1" applyAlignment="1">
      <alignment horizontal="left" vertical="top" wrapText="1"/>
    </xf>
    <xf numFmtId="0" fontId="11" fillId="0" borderId="16" xfId="0" applyFont="1" applyBorder="1" applyAlignment="1">
      <alignment vertical="top" wrapText="1"/>
    </xf>
    <xf numFmtId="0" fontId="11" fillId="0" borderId="16" xfId="0" applyFont="1" applyBorder="1" applyAlignment="1">
      <alignment horizontal="left" vertical="top" wrapText="1"/>
    </xf>
    <xf numFmtId="0" fontId="11" fillId="0" borderId="16" xfId="0" applyFont="1" applyBorder="1" applyAlignment="1">
      <alignment horizontal="left" vertical="top" wrapText="1"/>
    </xf>
    <xf numFmtId="167" fontId="23" fillId="0" borderId="24" xfId="0" applyNumberFormat="1" applyFont="1" applyBorder="1" applyAlignment="1">
      <alignment horizontal="left" vertical="top" wrapText="1"/>
    </xf>
    <xf numFmtId="166" fontId="11" fillId="0" borderId="0" xfId="0" applyNumberFormat="1" applyFont="1" applyAlignment="1">
      <alignment horizontal="left" vertical="top" wrapText="1"/>
    </xf>
    <xf numFmtId="0" fontId="11" fillId="0" borderId="0" xfId="0" applyFont="1" applyAlignment="1">
      <alignment vertical="top" wrapText="1"/>
    </xf>
    <xf numFmtId="0" fontId="11" fillId="0" borderId="0" xfId="0" applyFont="1" applyAlignment="1">
      <alignment horizontal="left" vertical="top" wrapText="1"/>
    </xf>
    <xf numFmtId="0" fontId="23" fillId="0" borderId="0" xfId="0" applyFont="1" applyAlignment="1">
      <alignment horizontal="left" vertical="top" wrapText="1"/>
    </xf>
    <xf numFmtId="0" fontId="13" fillId="0" borderId="0" xfId="0" applyFont="1" applyAlignment="1">
      <alignment horizontal="left"/>
    </xf>
    <xf numFmtId="0" fontId="21" fillId="0" borderId="0" xfId="0" applyFont="1"/>
    <xf numFmtId="0" fontId="13" fillId="0" borderId="0" xfId="0" applyFont="1" applyAlignment="1">
      <alignment wrapText="1"/>
    </xf>
  </cellXfs>
  <cellStyles count="4">
    <cellStyle name="Normal" xfId="0" builtinId="0"/>
    <cellStyle name="Normal_Functional Test Case v1.0" xfId="1" xr:uid="{00000000-0005-0000-0000-000006000000}"/>
    <cellStyle name="Normal_Sheet1_Vanco_CR022a1_TestCase_v0.1" xfId="2" xr:uid="{00000000-0005-0000-0000-000007000000}"/>
    <cellStyle name="標準_結合試験(AllOvertheWorld)" xfId="3"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23"/>
  <sheetViews>
    <sheetView showGridLines="0" zoomScaleNormal="100" workbookViewId="0">
      <selection activeCell="F16" sqref="F16"/>
    </sheetView>
  </sheetViews>
  <sheetFormatPr defaultColWidth="9" defaultRowHeight="13.8"/>
  <cols>
    <col min="1" max="1" width="9" style="4"/>
    <col min="2" max="2" width="14.109375" style="4" customWidth="1"/>
    <col min="3" max="3" width="10.5546875" style="4" customWidth="1"/>
    <col min="4" max="4" width="22.44140625" style="4" customWidth="1"/>
    <col min="5" max="5" width="38.88671875" style="4" customWidth="1"/>
    <col min="6" max="6" width="23.77734375" style="4" customWidth="1"/>
    <col min="7" max="7" width="20.44140625" style="4" customWidth="1"/>
    <col min="8" max="8" width="26.6640625" style="4" customWidth="1"/>
    <col min="9" max="16384" width="9" style="4"/>
  </cols>
  <sheetData>
    <row r="2" spans="1:8" ht="21.75" customHeight="1">
      <c r="A2" s="5"/>
      <c r="B2" s="6" t="s">
        <v>0</v>
      </c>
      <c r="C2" s="5"/>
      <c r="D2" s="5"/>
      <c r="E2" s="5"/>
      <c r="F2" s="5"/>
      <c r="G2" s="5"/>
    </row>
    <row r="3" spans="1:8">
      <c r="A3" s="5"/>
      <c r="B3" s="7" t="s">
        <v>1</v>
      </c>
      <c r="C3" s="8">
        <v>1.1000000000000001</v>
      </c>
      <c r="D3" s="9"/>
      <c r="E3" s="5"/>
      <c r="F3" s="5"/>
      <c r="G3" s="5"/>
    </row>
    <row r="4" spans="1:8">
      <c r="A4" s="5"/>
      <c r="B4" s="7" t="s">
        <v>2</v>
      </c>
      <c r="C4" s="10">
        <v>46246</v>
      </c>
      <c r="D4" s="10"/>
      <c r="E4" s="5"/>
      <c r="F4" s="5"/>
      <c r="G4" s="5"/>
    </row>
    <row r="5" spans="1:8" ht="14.25" customHeight="1">
      <c r="A5" s="5"/>
      <c r="B5" s="7"/>
      <c r="C5" s="9"/>
      <c r="D5" s="9"/>
      <c r="E5" s="5"/>
      <c r="F5" s="5"/>
      <c r="G5" s="5"/>
    </row>
    <row r="6" spans="1:8" ht="14.25" customHeight="1">
      <c r="A6" s="5"/>
      <c r="B6" s="7" t="s">
        <v>3</v>
      </c>
      <c r="C6" s="107" t="s">
        <v>4</v>
      </c>
      <c r="D6" s="107"/>
      <c r="E6" s="107"/>
      <c r="F6" s="5"/>
      <c r="G6" s="5"/>
    </row>
    <row r="7" spans="1:8" ht="13.5" customHeight="1">
      <c r="A7" s="5"/>
      <c r="B7" s="7" t="s">
        <v>5</v>
      </c>
      <c r="C7" s="107" t="s">
        <v>6</v>
      </c>
      <c r="D7" s="107"/>
      <c r="E7" s="107"/>
      <c r="F7" s="5"/>
      <c r="G7" s="5"/>
    </row>
    <row r="8" spans="1:8">
      <c r="A8" s="5"/>
      <c r="B8" s="7"/>
      <c r="C8" s="5"/>
      <c r="D8" s="5"/>
      <c r="E8" s="5"/>
      <c r="F8" s="5"/>
      <c r="G8" s="5"/>
    </row>
    <row r="9" spans="1:8">
      <c r="A9" s="5"/>
      <c r="B9" s="11"/>
      <c r="C9" s="11"/>
      <c r="D9" s="11"/>
      <c r="E9" s="11"/>
      <c r="F9" s="5"/>
      <c r="G9" s="5"/>
    </row>
    <row r="10" spans="1:8">
      <c r="B10" s="12" t="s">
        <v>7</v>
      </c>
    </row>
    <row r="11" spans="1:8" s="13" customFormat="1" ht="26.25" customHeight="1">
      <c r="B11" s="14" t="s">
        <v>8</v>
      </c>
      <c r="C11" s="15" t="s">
        <v>9</v>
      </c>
      <c r="D11" s="15" t="s">
        <v>10</v>
      </c>
      <c r="E11" s="15" t="s">
        <v>11</v>
      </c>
      <c r="F11" s="15" t="s">
        <v>12</v>
      </c>
      <c r="G11" s="16" t="s">
        <v>13</v>
      </c>
      <c r="H11" s="17" t="s">
        <v>14</v>
      </c>
    </row>
    <row r="12" spans="1:8" s="13" customFormat="1">
      <c r="B12" s="18">
        <v>46246</v>
      </c>
      <c r="C12" s="19" t="s">
        <v>15</v>
      </c>
      <c r="D12" s="20" t="s">
        <v>16</v>
      </c>
      <c r="E12" s="21" t="s">
        <v>17</v>
      </c>
      <c r="F12" s="22" t="s">
        <v>18</v>
      </c>
      <c r="G12" s="23" t="s">
        <v>18</v>
      </c>
      <c r="H12" s="24"/>
    </row>
    <row r="13" spans="1:8" s="13" customFormat="1" ht="39" customHeight="1">
      <c r="B13" s="18">
        <v>46247</v>
      </c>
      <c r="C13" s="19" t="s">
        <v>19</v>
      </c>
      <c r="D13" s="25" t="s">
        <v>20</v>
      </c>
      <c r="E13" s="26" t="s">
        <v>21</v>
      </c>
      <c r="F13" s="22" t="s">
        <v>18</v>
      </c>
      <c r="G13" s="23" t="s">
        <v>18</v>
      </c>
      <c r="H13" s="24" t="s">
        <v>22</v>
      </c>
    </row>
    <row r="14" spans="1:8" s="27" customFormat="1" ht="12.75" customHeight="1">
      <c r="B14" s="18"/>
      <c r="C14" s="19"/>
      <c r="D14" s="20"/>
      <c r="E14" s="21"/>
      <c r="F14" s="22"/>
      <c r="G14" s="28"/>
      <c r="H14" s="24"/>
    </row>
    <row r="15" spans="1:8" s="27" customFormat="1" ht="12.75" customHeight="1">
      <c r="B15" s="29"/>
      <c r="C15" s="30"/>
      <c r="D15" s="31"/>
      <c r="E15" s="31"/>
      <c r="F15" s="31"/>
      <c r="G15" s="31"/>
      <c r="H15" s="32"/>
    </row>
    <row r="16" spans="1:8" s="13" customFormat="1">
      <c r="B16" s="18"/>
      <c r="C16" s="19"/>
      <c r="D16" s="20"/>
      <c r="E16" s="31"/>
      <c r="F16" s="31"/>
      <c r="G16" s="31"/>
      <c r="H16" s="33"/>
    </row>
    <row r="17" spans="2:8" s="13" customFormat="1">
      <c r="B17" s="29"/>
      <c r="C17" s="30"/>
      <c r="D17" s="31"/>
      <c r="E17" s="31"/>
      <c r="F17" s="31"/>
      <c r="G17" s="31"/>
      <c r="H17" s="32"/>
    </row>
    <row r="18" spans="2:8" s="13" customFormat="1">
      <c r="B18" s="29"/>
      <c r="C18" s="30"/>
      <c r="D18" s="31"/>
      <c r="E18" s="31"/>
      <c r="F18" s="31"/>
      <c r="G18" s="31"/>
      <c r="H18" s="32"/>
    </row>
    <row r="19" spans="2:8" s="13" customFormat="1">
      <c r="B19" s="29"/>
      <c r="C19" s="30"/>
      <c r="D19" s="31"/>
      <c r="E19" s="31"/>
      <c r="F19" s="31"/>
      <c r="G19" s="31"/>
      <c r="H19" s="32"/>
    </row>
    <row r="20" spans="2:8" s="13" customFormat="1">
      <c r="B20" s="29"/>
      <c r="C20" s="30"/>
      <c r="D20" s="31"/>
      <c r="E20" s="31"/>
      <c r="F20" s="31"/>
      <c r="G20" s="31"/>
      <c r="H20" s="32"/>
    </row>
    <row r="21" spans="2:8" s="13" customFormat="1">
      <c r="B21" s="29"/>
      <c r="C21" s="30"/>
      <c r="D21" s="31"/>
      <c r="E21" s="31"/>
      <c r="F21" s="31"/>
      <c r="G21" s="31"/>
      <c r="H21" s="32"/>
    </row>
    <row r="22" spans="2:8" s="13" customFormat="1">
      <c r="B22" s="29"/>
      <c r="C22" s="30"/>
      <c r="D22" s="31"/>
      <c r="E22" s="31"/>
      <c r="F22" s="31"/>
      <c r="G22" s="31"/>
      <c r="H22" s="32"/>
    </row>
    <row r="23" spans="2:8" s="13" customFormat="1">
      <c r="B23" s="34"/>
      <c r="C23" s="35"/>
      <c r="D23" s="36"/>
      <c r="E23" s="36"/>
      <c r="F23" s="36"/>
      <c r="G23" s="36"/>
      <c r="H23" s="37"/>
    </row>
  </sheetData>
  <mergeCells count="2">
    <mergeCell ref="C6:E6"/>
    <mergeCell ref="C7:E7"/>
  </mergeCells>
  <pageMargins left="0.37013888888888902" right="0.47013888888888899" top="0.5" bottom="0.37986111111111098" header="0.511811023622047" footer="0.17013888888888901"/>
  <pageSetup paperSize="9" orientation="landscape" horizontalDpi="300" verticalDpi="300"/>
  <headerFooter>
    <oddFooter>&amp;L&amp;"Tahoma,Regular"&amp;8 02ae-BM/PM/HDCV/FSOFT v1/0&amp;R&amp;"Tahoma,Regular"&amp;10 &amp;P/&amp;N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L51"/>
  <sheetViews>
    <sheetView tabSelected="1" topLeftCell="A23" zoomScale="85" zoomScaleNormal="85" workbookViewId="0">
      <selection activeCell="C31" sqref="C31"/>
    </sheetView>
  </sheetViews>
  <sheetFormatPr defaultColWidth="8.77734375" defaultRowHeight="15" outlineLevelRow="1"/>
  <cols>
    <col min="1" max="1" width="21.6640625" style="63" bestFit="1" customWidth="1"/>
    <col min="2" max="2" width="25.6640625" style="63" bestFit="1" customWidth="1"/>
    <col min="3" max="3" width="83.6640625" style="63" bestFit="1" customWidth="1"/>
    <col min="4" max="4" width="3.5546875" style="152" bestFit="1" customWidth="1"/>
    <col min="5" max="5" width="8.77734375" style="152"/>
    <col min="6" max="6" width="23.6640625" style="152" customWidth="1"/>
    <col min="7" max="7" width="18.44140625" style="63" hidden="1" customWidth="1"/>
    <col min="8" max="8" width="17.44140625" style="63" bestFit="1" customWidth="1"/>
    <col min="9" max="9" width="11.5546875" style="63" bestFit="1" customWidth="1"/>
    <col min="10" max="10" width="9.6640625" style="153" customWidth="1"/>
    <col min="11" max="11" width="6.5546875" style="63" bestFit="1" customWidth="1"/>
    <col min="12" max="16384" width="8.77734375" style="63"/>
  </cols>
  <sheetData>
    <row r="1" spans="1:12" s="62" customFormat="1" ht="12.75" customHeight="1">
      <c r="A1" s="110" t="s">
        <v>0</v>
      </c>
      <c r="B1" s="111"/>
      <c r="C1" s="111"/>
      <c r="D1" s="111"/>
      <c r="E1" s="112"/>
      <c r="F1" s="112"/>
      <c r="G1" s="113"/>
      <c r="H1" s="113"/>
      <c r="I1" s="113"/>
      <c r="J1" s="113"/>
      <c r="K1" s="113"/>
      <c r="L1" s="61"/>
    </row>
    <row r="2" spans="1:12" s="62" customFormat="1" ht="11.25" customHeight="1">
      <c r="A2" s="61"/>
      <c r="B2" s="111"/>
      <c r="C2" s="111"/>
      <c r="D2" s="111"/>
      <c r="E2" s="112"/>
      <c r="F2" s="112"/>
      <c r="G2" s="113"/>
      <c r="H2" s="113"/>
      <c r="I2" s="113"/>
      <c r="J2" s="113"/>
      <c r="K2" s="113"/>
      <c r="L2" s="61"/>
    </row>
    <row r="3" spans="1:12" s="62" customFormat="1" ht="15" customHeight="1">
      <c r="A3" s="114" t="s">
        <v>306</v>
      </c>
      <c r="B3" s="115" t="s">
        <v>4</v>
      </c>
      <c r="C3" s="115"/>
      <c r="D3" s="115"/>
      <c r="E3" s="116"/>
      <c r="F3" s="116"/>
      <c r="G3" s="116"/>
      <c r="H3" s="116"/>
      <c r="I3" s="117"/>
      <c r="J3" s="117"/>
      <c r="K3" s="117"/>
      <c r="L3" s="61"/>
    </row>
    <row r="4" spans="1:12" s="62" customFormat="1" ht="12.75" customHeight="1">
      <c r="A4" s="118" t="s">
        <v>307</v>
      </c>
      <c r="B4" s="119" t="s">
        <v>25</v>
      </c>
      <c r="C4" s="119"/>
      <c r="D4" s="119"/>
      <c r="E4" s="116"/>
      <c r="F4" s="116"/>
      <c r="G4" s="116"/>
      <c r="H4" s="116"/>
      <c r="I4" s="117"/>
      <c r="J4" s="117"/>
      <c r="K4" s="117"/>
      <c r="L4" s="61"/>
    </row>
    <row r="5" spans="1:12" s="124" customFormat="1" ht="26.25" customHeight="1">
      <c r="A5" s="118" t="s">
        <v>26</v>
      </c>
      <c r="B5" s="120" t="s">
        <v>27</v>
      </c>
      <c r="C5" s="120"/>
      <c r="D5" s="120"/>
      <c r="E5" s="121"/>
      <c r="F5" s="121"/>
      <c r="G5" s="121"/>
      <c r="H5" s="121"/>
      <c r="I5" s="122"/>
      <c r="J5" s="122"/>
      <c r="K5" s="122"/>
      <c r="L5" s="123"/>
    </row>
    <row r="6" spans="1:12" s="62" customFormat="1" ht="18" customHeight="1">
      <c r="A6" s="125" t="s">
        <v>28</v>
      </c>
      <c r="B6" s="126">
        <f>COUNTIF(J10:J100,"Pass")</f>
        <v>0</v>
      </c>
      <c r="C6" s="127" t="s">
        <v>29</v>
      </c>
      <c r="D6" s="128">
        <f>COUNTIF(J10:J7100,"Pending")</f>
        <v>11</v>
      </c>
      <c r="E6" s="112"/>
      <c r="F6" s="112"/>
      <c r="G6" s="129"/>
      <c r="H6" s="129"/>
      <c r="I6" s="117"/>
      <c r="J6" s="117"/>
      <c r="K6" s="117"/>
      <c r="L6" s="61"/>
    </row>
    <row r="7" spans="1:12" s="62" customFormat="1" ht="18" customHeight="1">
      <c r="A7" s="130" t="s">
        <v>30</v>
      </c>
      <c r="B7" s="131">
        <f>COUNTIF(J12:J100,"Fail")</f>
        <v>0</v>
      </c>
      <c r="C7" s="132" t="s">
        <v>31</v>
      </c>
      <c r="D7" s="133">
        <f>COUNTA(A12:A100) - 1</f>
        <v>11</v>
      </c>
      <c r="E7" s="134"/>
      <c r="F7" s="134"/>
      <c r="G7" s="135"/>
      <c r="H7" s="135"/>
      <c r="I7" s="117"/>
      <c r="J7" s="117"/>
      <c r="K7" s="117"/>
      <c r="L7" s="61"/>
    </row>
    <row r="8" spans="1:12" s="62" customFormat="1" ht="15" customHeight="1">
      <c r="A8" s="136"/>
      <c r="B8" s="136"/>
      <c r="C8" s="136"/>
      <c r="D8" s="136"/>
      <c r="E8" s="112"/>
      <c r="F8" s="112"/>
      <c r="G8" s="129"/>
      <c r="H8" s="129"/>
      <c r="I8" s="129"/>
      <c r="J8" s="137"/>
      <c r="K8" s="137"/>
      <c r="L8" s="61"/>
    </row>
    <row r="9" spans="1:12" s="62" customFormat="1" ht="18" customHeight="1">
      <c r="A9" s="138" t="s">
        <v>32</v>
      </c>
      <c r="B9" s="139" t="s">
        <v>33</v>
      </c>
      <c r="C9" s="138" t="s">
        <v>34</v>
      </c>
      <c r="D9" s="138" t="s">
        <v>35</v>
      </c>
      <c r="E9" s="138"/>
      <c r="F9" s="138"/>
      <c r="G9" s="138"/>
      <c r="H9" s="138" t="s">
        <v>36</v>
      </c>
      <c r="I9" s="140" t="s">
        <v>37</v>
      </c>
      <c r="J9" s="140" t="s">
        <v>38</v>
      </c>
      <c r="K9" s="140" t="s">
        <v>39</v>
      </c>
      <c r="L9" s="61"/>
    </row>
    <row r="10" spans="1:12" s="62" customFormat="1" ht="12" customHeight="1">
      <c r="A10" s="138"/>
      <c r="B10" s="138"/>
      <c r="C10" s="138"/>
      <c r="D10" s="138"/>
      <c r="E10" s="138"/>
      <c r="F10" s="138"/>
      <c r="G10" s="138"/>
      <c r="H10" s="138"/>
      <c r="I10" s="138"/>
      <c r="J10" s="138"/>
      <c r="K10" s="138"/>
      <c r="L10" s="61"/>
    </row>
    <row r="11" spans="1:12" ht="15" customHeight="1">
      <c r="A11" s="99"/>
      <c r="B11" s="99"/>
      <c r="C11" s="99"/>
      <c r="D11" s="99"/>
      <c r="E11" s="99"/>
      <c r="F11" s="99"/>
      <c r="G11" s="99"/>
      <c r="H11" s="99"/>
      <c r="I11" s="99"/>
      <c r="J11" s="99"/>
      <c r="K11" s="99"/>
    </row>
    <row r="12" spans="1:12" s="142" customFormat="1" ht="12.75" customHeight="1">
      <c r="A12" s="141" t="s">
        <v>40</v>
      </c>
      <c r="B12" s="141"/>
      <c r="C12" s="141"/>
      <c r="D12" s="141"/>
      <c r="E12" s="141"/>
      <c r="F12" s="141"/>
      <c r="G12" s="141"/>
      <c r="H12" s="141"/>
      <c r="I12" s="141"/>
      <c r="J12" s="141"/>
      <c r="K12" s="141"/>
    </row>
    <row r="13" spans="1:12" s="142" customFormat="1" ht="135" outlineLevel="1">
      <c r="A13" s="143" t="s">
        <v>41</v>
      </c>
      <c r="B13" s="144" t="s">
        <v>42</v>
      </c>
      <c r="C13" s="145" t="s">
        <v>413</v>
      </c>
      <c r="D13" s="146" t="s">
        <v>43</v>
      </c>
      <c r="E13" s="146"/>
      <c r="F13" s="146"/>
      <c r="G13" s="144"/>
      <c r="H13" s="144"/>
      <c r="I13" s="147"/>
      <c r="J13" s="145" t="s">
        <v>29</v>
      </c>
      <c r="K13" s="145"/>
    </row>
    <row r="14" spans="1:12" s="142" customFormat="1" ht="45" outlineLevel="1">
      <c r="A14" s="143" t="s">
        <v>44</v>
      </c>
      <c r="B14" s="144" t="s">
        <v>45</v>
      </c>
      <c r="C14" s="145" t="s">
        <v>414</v>
      </c>
      <c r="D14" s="146" t="s">
        <v>46</v>
      </c>
      <c r="E14" s="146"/>
      <c r="F14" s="146"/>
      <c r="G14" s="144"/>
      <c r="H14" s="144"/>
      <c r="I14" s="147"/>
      <c r="J14" s="145" t="s">
        <v>29</v>
      </c>
      <c r="K14" s="145"/>
    </row>
    <row r="15" spans="1:12" s="142" customFormat="1" ht="90" outlineLevel="1">
      <c r="A15" s="143" t="s">
        <v>47</v>
      </c>
      <c r="B15" s="144" t="s">
        <v>48</v>
      </c>
      <c r="C15" s="145" t="s">
        <v>415</v>
      </c>
      <c r="D15" s="146" t="s">
        <v>49</v>
      </c>
      <c r="E15" s="146"/>
      <c r="F15" s="146"/>
      <c r="G15" s="144"/>
      <c r="H15" s="144"/>
      <c r="I15" s="147"/>
      <c r="J15" s="145" t="s">
        <v>29</v>
      </c>
      <c r="K15" s="145"/>
    </row>
    <row r="16" spans="1:12" s="142" customFormat="1" ht="150" outlineLevel="1">
      <c r="A16" s="143" t="s">
        <v>50</v>
      </c>
      <c r="B16" s="144" t="s">
        <v>51</v>
      </c>
      <c r="C16" s="145" t="s">
        <v>416</v>
      </c>
      <c r="D16" s="146" t="s">
        <v>52</v>
      </c>
      <c r="E16" s="146"/>
      <c r="F16" s="146"/>
      <c r="G16" s="144"/>
      <c r="H16" s="144"/>
      <c r="I16" s="147"/>
      <c r="J16" s="145" t="s">
        <v>29</v>
      </c>
      <c r="K16" s="145"/>
    </row>
    <row r="17" spans="1:11" s="142" customFormat="1" ht="135" outlineLevel="1">
      <c r="A17" s="143" t="s">
        <v>53</v>
      </c>
      <c r="B17" s="144" t="s">
        <v>54</v>
      </c>
      <c r="C17" s="145" t="s">
        <v>417</v>
      </c>
      <c r="D17" s="146" t="s">
        <v>55</v>
      </c>
      <c r="E17" s="146"/>
      <c r="F17" s="146"/>
      <c r="G17" s="144"/>
      <c r="H17" s="144"/>
      <c r="I17" s="147"/>
      <c r="J17" s="145" t="s">
        <v>29</v>
      </c>
      <c r="K17" s="145"/>
    </row>
    <row r="18" spans="1:11" s="142" customFormat="1" ht="75" outlineLevel="1">
      <c r="A18" s="143" t="s">
        <v>56</v>
      </c>
      <c r="B18" s="144" t="s">
        <v>57</v>
      </c>
      <c r="C18" s="145" t="s">
        <v>418</v>
      </c>
      <c r="D18" s="146" t="s">
        <v>58</v>
      </c>
      <c r="E18" s="146"/>
      <c r="F18" s="146"/>
      <c r="G18" s="144"/>
      <c r="H18" s="144"/>
      <c r="I18" s="147"/>
      <c r="J18" s="145" t="s">
        <v>29</v>
      </c>
      <c r="K18" s="145"/>
    </row>
    <row r="19" spans="1:11" s="142" customFormat="1" ht="135" outlineLevel="1">
      <c r="A19" s="143" t="s">
        <v>59</v>
      </c>
      <c r="B19" s="144" t="s">
        <v>308</v>
      </c>
      <c r="C19" s="145" t="s">
        <v>419</v>
      </c>
      <c r="D19" s="146" t="s">
        <v>60</v>
      </c>
      <c r="E19" s="146"/>
      <c r="F19" s="146"/>
      <c r="G19" s="144"/>
      <c r="H19" s="144"/>
      <c r="I19" s="147"/>
      <c r="J19" s="145" t="s">
        <v>29</v>
      </c>
      <c r="K19" s="145"/>
    </row>
    <row r="20" spans="1:11" s="142" customFormat="1" ht="120" outlineLevel="1">
      <c r="A20" s="143" t="s">
        <v>61</v>
      </c>
      <c r="B20" s="144" t="s">
        <v>309</v>
      </c>
      <c r="C20" s="145" t="s">
        <v>420</v>
      </c>
      <c r="D20" s="146" t="s">
        <v>62</v>
      </c>
      <c r="E20" s="146"/>
      <c r="F20" s="146"/>
      <c r="G20" s="144"/>
      <c r="H20" s="144"/>
      <c r="I20" s="147"/>
      <c r="J20" s="145" t="s">
        <v>29</v>
      </c>
      <c r="K20" s="145"/>
    </row>
    <row r="21" spans="1:11" s="142" customFormat="1" outlineLevel="1">
      <c r="A21" s="143"/>
      <c r="B21" s="144"/>
      <c r="C21" s="145"/>
      <c r="D21" s="146"/>
      <c r="E21" s="146"/>
      <c r="F21" s="146"/>
      <c r="G21" s="144"/>
      <c r="H21" s="144"/>
      <c r="I21" s="147"/>
      <c r="J21" s="145"/>
      <c r="K21" s="145"/>
    </row>
    <row r="22" spans="1:11" s="142" customFormat="1" ht="30" outlineLevel="1">
      <c r="A22" s="143" t="s">
        <v>63</v>
      </c>
      <c r="B22" s="144" t="s">
        <v>64</v>
      </c>
      <c r="C22" s="145"/>
      <c r="D22" s="146" t="s">
        <v>65</v>
      </c>
      <c r="E22" s="146"/>
      <c r="F22" s="146"/>
      <c r="G22" s="144"/>
      <c r="H22" s="144"/>
      <c r="I22" s="147"/>
      <c r="J22" s="145" t="s">
        <v>29</v>
      </c>
      <c r="K22" s="145"/>
    </row>
    <row r="23" spans="1:11" s="142" customFormat="1" outlineLevel="1">
      <c r="A23" s="143" t="s">
        <v>66</v>
      </c>
      <c r="B23" s="144" t="s">
        <v>310</v>
      </c>
      <c r="C23" s="145"/>
      <c r="D23" s="146" t="s">
        <v>67</v>
      </c>
      <c r="E23" s="146"/>
      <c r="F23" s="146"/>
      <c r="G23" s="144"/>
      <c r="H23" s="144"/>
      <c r="I23" s="147"/>
      <c r="J23" s="145" t="s">
        <v>29</v>
      </c>
      <c r="K23" s="145"/>
    </row>
    <row r="24" spans="1:11" s="142" customFormat="1" ht="30" outlineLevel="1">
      <c r="A24" s="143" t="s">
        <v>68</v>
      </c>
      <c r="B24" s="144" t="s">
        <v>311</v>
      </c>
      <c r="C24" s="145"/>
      <c r="D24" s="146" t="s">
        <v>69</v>
      </c>
      <c r="E24" s="146"/>
      <c r="F24" s="146"/>
      <c r="G24" s="144"/>
      <c r="H24" s="144"/>
      <c r="I24" s="147"/>
      <c r="J24" s="145" t="s">
        <v>29</v>
      </c>
      <c r="K24" s="145"/>
    </row>
    <row r="25" spans="1:11" s="142" customFormat="1" outlineLevel="1">
      <c r="A25" s="148"/>
      <c r="B25" s="149"/>
      <c r="C25" s="150"/>
      <c r="D25" s="150"/>
      <c r="G25" s="149"/>
      <c r="H25" s="149"/>
      <c r="I25" s="151"/>
      <c r="J25" s="150"/>
      <c r="K25" s="150"/>
    </row>
    <row r="26" spans="1:11">
      <c r="C26" s="154"/>
    </row>
    <row r="27" spans="1:11">
      <c r="C27" s="154"/>
    </row>
    <row r="28" spans="1:11">
      <c r="C28" s="154"/>
    </row>
    <row r="29" spans="1:11">
      <c r="C29" s="154"/>
    </row>
    <row r="30" spans="1:11">
      <c r="C30" s="154"/>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sheetData>
  <mergeCells count="32">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3:F13"/>
    <mergeCell ref="D14:F14"/>
    <mergeCell ref="D15:F15"/>
    <mergeCell ref="D16:F16"/>
    <mergeCell ref="D17:F17"/>
    <mergeCell ref="D23:F23"/>
    <mergeCell ref="D24:F24"/>
    <mergeCell ref="D18:F18"/>
    <mergeCell ref="D19:F19"/>
    <mergeCell ref="D20:F20"/>
    <mergeCell ref="D21:F21"/>
    <mergeCell ref="D22:F22"/>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5"/>
  <sheetViews>
    <sheetView tabSelected="1" zoomScaleNormal="100" workbookViewId="0">
      <selection activeCell="C31" sqref="C31"/>
    </sheetView>
  </sheetViews>
  <sheetFormatPr defaultColWidth="8.77734375" defaultRowHeight="13.8" outlineLevelRow="1"/>
  <cols>
    <col min="1" max="1" width="15.6640625" customWidth="1"/>
    <col min="2" max="2" width="18.109375" customWidth="1"/>
    <col min="3" max="3" width="56.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70</v>
      </c>
      <c r="C4" s="108"/>
      <c r="D4" s="108"/>
      <c r="E4" s="44"/>
      <c r="F4" s="44"/>
      <c r="G4" s="44"/>
      <c r="H4" s="44"/>
      <c r="I4" s="104"/>
      <c r="J4" s="104"/>
      <c r="K4" s="104"/>
      <c r="L4" s="45"/>
    </row>
    <row r="5" spans="1:12" s="50" customFormat="1" ht="26.25" customHeight="1">
      <c r="A5" s="47" t="s">
        <v>26</v>
      </c>
      <c r="B5" s="102" t="s">
        <v>71</v>
      </c>
      <c r="C5" s="102"/>
      <c r="D5" s="102"/>
      <c r="E5" s="48"/>
      <c r="F5" s="48"/>
      <c r="G5" s="48"/>
      <c r="H5" s="48"/>
      <c r="I5" s="103"/>
      <c r="J5" s="103"/>
      <c r="K5" s="103"/>
      <c r="L5" s="49"/>
    </row>
    <row r="6" spans="1:12" s="46" customFormat="1" ht="18" customHeight="1">
      <c r="A6" s="51" t="s">
        <v>28</v>
      </c>
      <c r="B6" s="52">
        <f>COUNTIF(J10:J100,"Pass")</f>
        <v>0</v>
      </c>
      <c r="C6" s="53" t="s">
        <v>29</v>
      </c>
      <c r="D6" s="54">
        <f>COUNTIF(J10:J7100,"Pending")</f>
        <v>13</v>
      </c>
      <c r="E6" s="3"/>
      <c r="F6" s="3"/>
      <c r="G6" s="3"/>
      <c r="H6" s="3"/>
      <c r="I6" s="104"/>
      <c r="J6" s="104"/>
      <c r="K6" s="104"/>
      <c r="L6" s="45"/>
    </row>
    <row r="7" spans="1:12" s="46" customFormat="1" ht="18" customHeight="1">
      <c r="A7" s="55" t="s">
        <v>30</v>
      </c>
      <c r="B7" s="56">
        <f>COUNTIF(J12:J100,"Fail")</f>
        <v>0</v>
      </c>
      <c r="C7" s="57" t="s">
        <v>31</v>
      </c>
      <c r="D7" s="58">
        <f>COUNTA(A12:A100) - 1</f>
        <v>13</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72</v>
      </c>
      <c r="B12" s="100"/>
      <c r="C12" s="100"/>
      <c r="D12" s="100"/>
      <c r="E12" s="100"/>
      <c r="F12" s="100"/>
      <c r="G12" s="100"/>
      <c r="H12" s="100"/>
      <c r="I12" s="100"/>
      <c r="J12" s="100"/>
      <c r="K12" s="100"/>
    </row>
    <row r="13" spans="1:12" s="64" customFormat="1" ht="118.8" outlineLevel="1">
      <c r="A13" s="65" t="s">
        <v>73</v>
      </c>
      <c r="B13" s="66" t="s">
        <v>312</v>
      </c>
      <c r="C13" s="2" t="s">
        <v>413</v>
      </c>
      <c r="D13" s="96" t="s">
        <v>74</v>
      </c>
      <c r="E13" s="96"/>
      <c r="F13" s="96"/>
      <c r="G13" s="66"/>
      <c r="H13" s="66"/>
      <c r="I13" s="67"/>
      <c r="J13" s="2" t="s">
        <v>29</v>
      </c>
      <c r="K13" s="2"/>
    </row>
    <row r="14" spans="1:12" s="64" customFormat="1" ht="66" outlineLevel="1">
      <c r="A14" s="65" t="s">
        <v>75</v>
      </c>
      <c r="B14" s="66" t="s">
        <v>320</v>
      </c>
      <c r="C14" s="2" t="s">
        <v>414</v>
      </c>
      <c r="D14" s="96" t="s">
        <v>76</v>
      </c>
      <c r="E14" s="96"/>
      <c r="F14" s="96"/>
      <c r="G14" s="66"/>
      <c r="H14" s="66"/>
      <c r="I14" s="67"/>
      <c r="J14" s="2" t="s">
        <v>29</v>
      </c>
      <c r="K14" s="2"/>
    </row>
    <row r="15" spans="1:12" s="64" customFormat="1" ht="92.4" outlineLevel="1">
      <c r="A15" s="65" t="s">
        <v>77</v>
      </c>
      <c r="B15" s="66" t="s">
        <v>313</v>
      </c>
      <c r="C15" s="2" t="s">
        <v>415</v>
      </c>
      <c r="D15" s="96" t="s">
        <v>78</v>
      </c>
      <c r="E15" s="96"/>
      <c r="F15" s="96"/>
      <c r="G15" s="66"/>
      <c r="H15" s="66"/>
      <c r="I15" s="67"/>
      <c r="J15" s="2" t="s">
        <v>29</v>
      </c>
      <c r="K15" s="2"/>
    </row>
    <row r="16" spans="1:12" s="64" customFormat="1" ht="158.4" outlineLevel="1">
      <c r="A16" s="65" t="s">
        <v>79</v>
      </c>
      <c r="B16" s="66" t="s">
        <v>314</v>
      </c>
      <c r="C16" s="2" t="s">
        <v>416</v>
      </c>
      <c r="D16" s="96" t="s">
        <v>78</v>
      </c>
      <c r="E16" s="96"/>
      <c r="F16" s="96"/>
      <c r="G16" s="66"/>
      <c r="H16" s="66"/>
      <c r="I16" s="67"/>
      <c r="J16" s="2" t="s">
        <v>29</v>
      </c>
      <c r="K16" s="2"/>
    </row>
    <row r="17" spans="1:11" s="64" customFormat="1" ht="174.6" customHeight="1" outlineLevel="1">
      <c r="A17" s="65" t="s">
        <v>80</v>
      </c>
      <c r="B17" s="66" t="s">
        <v>321</v>
      </c>
      <c r="C17" s="2" t="s">
        <v>417</v>
      </c>
      <c r="D17" s="96" t="s">
        <v>81</v>
      </c>
      <c r="E17" s="96"/>
      <c r="F17" s="96"/>
      <c r="G17" s="66"/>
      <c r="H17" s="66"/>
      <c r="I17" s="67"/>
      <c r="J17" s="2" t="s">
        <v>29</v>
      </c>
      <c r="K17" s="2"/>
    </row>
    <row r="18" spans="1:11" s="64" customFormat="1" ht="92.4" outlineLevel="1">
      <c r="A18" s="65" t="s">
        <v>82</v>
      </c>
      <c r="B18" s="66" t="s">
        <v>322</v>
      </c>
      <c r="C18" s="2" t="s">
        <v>418</v>
      </c>
      <c r="D18" s="96" t="s">
        <v>83</v>
      </c>
      <c r="E18" s="96"/>
      <c r="F18" s="96"/>
      <c r="G18" s="66"/>
      <c r="H18" s="66"/>
      <c r="I18" s="67"/>
      <c r="J18" s="2" t="s">
        <v>29</v>
      </c>
      <c r="K18" s="2"/>
    </row>
    <row r="19" spans="1:11" s="64" customFormat="1" ht="118.8" outlineLevel="1">
      <c r="A19" s="65" t="s">
        <v>84</v>
      </c>
      <c r="B19" s="66" t="s">
        <v>323</v>
      </c>
      <c r="C19" s="2" t="s">
        <v>419</v>
      </c>
      <c r="D19" s="96" t="s">
        <v>85</v>
      </c>
      <c r="E19" s="96"/>
      <c r="F19" s="96"/>
      <c r="G19" s="66"/>
      <c r="H19" s="66"/>
      <c r="I19" s="67"/>
      <c r="J19" s="2" t="s">
        <v>29</v>
      </c>
      <c r="K19" s="2"/>
    </row>
    <row r="20" spans="1:11" s="64" customFormat="1" ht="132" outlineLevel="1">
      <c r="A20" s="65" t="s">
        <v>86</v>
      </c>
      <c r="B20" s="66" t="s">
        <v>315</v>
      </c>
      <c r="C20" s="2" t="s">
        <v>420</v>
      </c>
      <c r="D20" s="96" t="s">
        <v>87</v>
      </c>
      <c r="E20" s="96"/>
      <c r="F20" s="96"/>
      <c r="G20" s="66"/>
      <c r="H20" s="66"/>
      <c r="I20" s="67"/>
      <c r="J20" s="2" t="s">
        <v>29</v>
      </c>
      <c r="K20" s="2"/>
    </row>
    <row r="21" spans="1:11" s="64" customFormat="1" ht="13.2" outlineLevel="1">
      <c r="A21" s="65"/>
      <c r="B21" s="66"/>
      <c r="C21" s="2"/>
      <c r="D21" s="96"/>
      <c r="E21" s="96"/>
      <c r="F21" s="96"/>
      <c r="G21" s="66"/>
      <c r="H21" s="66"/>
      <c r="I21" s="67"/>
      <c r="J21" s="2"/>
      <c r="K21" s="2"/>
    </row>
    <row r="22" spans="1:11" s="64" customFormat="1" ht="26.4" outlineLevel="1">
      <c r="A22" s="65" t="s">
        <v>88</v>
      </c>
      <c r="B22" s="66" t="s">
        <v>316</v>
      </c>
      <c r="C22" s="2"/>
      <c r="D22" s="96" t="s">
        <v>89</v>
      </c>
      <c r="E22" s="96"/>
      <c r="F22" s="96"/>
      <c r="G22" s="66"/>
      <c r="H22" s="66"/>
      <c r="I22" s="67"/>
      <c r="J22" s="2" t="s">
        <v>29</v>
      </c>
      <c r="K22" s="2"/>
    </row>
    <row r="23" spans="1:11" s="64" customFormat="1" ht="26.4" outlineLevel="1">
      <c r="A23" s="65" t="s">
        <v>90</v>
      </c>
      <c r="B23" s="66" t="s">
        <v>317</v>
      </c>
      <c r="C23" s="2"/>
      <c r="D23" s="96" t="s">
        <v>91</v>
      </c>
      <c r="E23" s="96"/>
      <c r="F23" s="96"/>
      <c r="G23" s="66"/>
      <c r="H23" s="66"/>
      <c r="I23" s="67"/>
      <c r="J23" s="2" t="s">
        <v>29</v>
      </c>
      <c r="K23" s="2"/>
    </row>
    <row r="24" spans="1:11" s="64" customFormat="1" ht="26.4" outlineLevel="1">
      <c r="A24" s="65" t="s">
        <v>92</v>
      </c>
      <c r="B24" s="66" t="s">
        <v>318</v>
      </c>
      <c r="C24" s="2"/>
      <c r="D24" s="96" t="s">
        <v>93</v>
      </c>
      <c r="E24" s="96"/>
      <c r="F24" s="96"/>
      <c r="G24" s="66"/>
      <c r="H24" s="66"/>
      <c r="I24" s="67"/>
      <c r="J24" s="2" t="s">
        <v>29</v>
      </c>
      <c r="K24" s="2"/>
    </row>
    <row r="25" spans="1:11" s="64" customFormat="1" ht="39.6" outlineLevel="1">
      <c r="A25" s="65" t="s">
        <v>94</v>
      </c>
      <c r="B25" s="66" t="s">
        <v>324</v>
      </c>
      <c r="C25" s="2"/>
      <c r="D25" s="96" t="s">
        <v>95</v>
      </c>
      <c r="E25" s="96"/>
      <c r="F25" s="96"/>
      <c r="G25" s="66"/>
      <c r="H25" s="66"/>
      <c r="I25" s="67"/>
      <c r="J25" s="2" t="s">
        <v>29</v>
      </c>
      <c r="K25" s="2"/>
    </row>
    <row r="26" spans="1:11" ht="26.4">
      <c r="A26" s="65" t="s">
        <v>96</v>
      </c>
      <c r="B26" s="66" t="s">
        <v>319</v>
      </c>
      <c r="C26" s="2"/>
      <c r="D26" s="96" t="s">
        <v>97</v>
      </c>
      <c r="E26" s="96"/>
      <c r="F26" s="96"/>
      <c r="G26" s="66"/>
      <c r="H26" s="66"/>
      <c r="I26" s="67"/>
      <c r="J26" s="2" t="s">
        <v>29</v>
      </c>
      <c r="K26" s="2"/>
    </row>
    <row r="27" spans="1:11">
      <c r="C27" s="83"/>
    </row>
    <row r="28" spans="1:11">
      <c r="C28" s="83"/>
    </row>
    <row r="29" spans="1:11">
      <c r="C29" s="83"/>
    </row>
    <row r="30" spans="1:11">
      <c r="C30" s="83"/>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34">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3:F13"/>
    <mergeCell ref="D14:F14"/>
    <mergeCell ref="D15:F15"/>
    <mergeCell ref="D16:F16"/>
    <mergeCell ref="D17:F17"/>
    <mergeCell ref="D23:F23"/>
    <mergeCell ref="D24:F24"/>
    <mergeCell ref="D25:F25"/>
    <mergeCell ref="D26:F26"/>
    <mergeCell ref="D18:F18"/>
    <mergeCell ref="D19:F19"/>
    <mergeCell ref="D20:F20"/>
    <mergeCell ref="D21:F21"/>
    <mergeCell ref="D22:F22"/>
  </mergeCell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55"/>
  <sheetViews>
    <sheetView tabSelected="1" topLeftCell="A21" zoomScaleNormal="100" workbookViewId="0">
      <selection activeCell="C31" sqref="C31"/>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98</v>
      </c>
      <c r="C4" s="108"/>
      <c r="D4" s="108"/>
      <c r="E4" s="44"/>
      <c r="F4" s="44"/>
      <c r="G4" s="44"/>
      <c r="H4" s="44"/>
      <c r="I4" s="104"/>
      <c r="J4" s="104"/>
      <c r="K4" s="104"/>
      <c r="L4" s="45"/>
    </row>
    <row r="5" spans="1:12" s="50" customFormat="1" ht="26.25" customHeight="1">
      <c r="A5" s="47" t="s">
        <v>26</v>
      </c>
      <c r="B5" s="102" t="s">
        <v>99</v>
      </c>
      <c r="C5" s="102"/>
      <c r="D5" s="102"/>
      <c r="E5" s="48"/>
      <c r="F5" s="48"/>
      <c r="G5" s="48"/>
      <c r="H5" s="48"/>
      <c r="I5" s="103"/>
      <c r="J5" s="103"/>
      <c r="K5" s="103"/>
      <c r="L5" s="49"/>
    </row>
    <row r="6" spans="1:12" s="46" customFormat="1" ht="18" customHeight="1">
      <c r="A6" s="51" t="s">
        <v>28</v>
      </c>
      <c r="B6" s="52">
        <f>COUNTIF(J10:J100,"Pass")</f>
        <v>0</v>
      </c>
      <c r="C6" s="53" t="s">
        <v>29</v>
      </c>
      <c r="D6" s="54">
        <f>COUNTIF(J10:J7100,"Pending")</f>
        <v>15</v>
      </c>
      <c r="E6" s="3"/>
      <c r="F6" s="3"/>
      <c r="G6" s="3"/>
      <c r="H6" s="3"/>
      <c r="I6" s="104"/>
      <c r="J6" s="104"/>
      <c r="K6" s="104"/>
      <c r="L6" s="45"/>
    </row>
    <row r="7" spans="1:12" s="46" customFormat="1" ht="18" customHeight="1">
      <c r="A7" s="55" t="s">
        <v>30</v>
      </c>
      <c r="B7" s="56">
        <f>COUNTIF(J12:J100,"Fail")</f>
        <v>0</v>
      </c>
      <c r="C7" s="57" t="s">
        <v>31</v>
      </c>
      <c r="D7" s="58">
        <f>COUNTA(A12:A100) - 1</f>
        <v>15</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100</v>
      </c>
      <c r="B12" s="100"/>
      <c r="C12" s="100"/>
      <c r="D12" s="100"/>
      <c r="E12" s="100"/>
      <c r="F12" s="100"/>
      <c r="G12" s="100"/>
      <c r="H12" s="100"/>
      <c r="I12" s="100"/>
      <c r="J12" s="100"/>
      <c r="K12" s="100"/>
    </row>
    <row r="13" spans="1:12" s="64" customFormat="1" ht="145.19999999999999" outlineLevel="1">
      <c r="A13" s="65" t="s">
        <v>101</v>
      </c>
      <c r="B13" s="66" t="s">
        <v>400</v>
      </c>
      <c r="C13" s="2" t="s">
        <v>413</v>
      </c>
      <c r="D13" s="96" t="s">
        <v>102</v>
      </c>
      <c r="E13" s="96"/>
      <c r="F13" s="96"/>
      <c r="G13" s="66"/>
      <c r="H13" s="66"/>
      <c r="I13" s="67"/>
      <c r="J13" s="2" t="s">
        <v>29</v>
      </c>
      <c r="K13" s="2"/>
    </row>
    <row r="14" spans="1:12" s="64" customFormat="1" ht="79.2" outlineLevel="1">
      <c r="A14" s="68" t="s">
        <v>103</v>
      </c>
      <c r="B14" s="66" t="s">
        <v>340</v>
      </c>
      <c r="C14" s="2" t="s">
        <v>414</v>
      </c>
      <c r="D14" s="109" t="s">
        <v>104</v>
      </c>
      <c r="E14" s="109"/>
      <c r="F14" s="109"/>
      <c r="G14" s="69"/>
      <c r="H14" s="69"/>
      <c r="I14" s="70"/>
      <c r="J14" s="1" t="s">
        <v>29</v>
      </c>
      <c r="K14" s="1"/>
    </row>
    <row r="15" spans="1:12" s="64" customFormat="1" ht="105.6" outlineLevel="1">
      <c r="A15" s="65" t="s">
        <v>105</v>
      </c>
      <c r="B15" s="66" t="s">
        <v>401</v>
      </c>
      <c r="C15" s="2" t="s">
        <v>415</v>
      </c>
      <c r="D15" s="96" t="s">
        <v>106</v>
      </c>
      <c r="E15" s="96"/>
      <c r="F15" s="96"/>
      <c r="G15" s="66"/>
      <c r="H15" s="66"/>
      <c r="I15" s="67"/>
      <c r="J15" s="2" t="s">
        <v>29</v>
      </c>
      <c r="K15" s="2"/>
    </row>
    <row r="16" spans="1:12" s="64" customFormat="1" ht="171.6" outlineLevel="1">
      <c r="A16" s="68" t="s">
        <v>107</v>
      </c>
      <c r="B16" s="66" t="s">
        <v>402</v>
      </c>
      <c r="C16" s="2" t="s">
        <v>416</v>
      </c>
      <c r="D16" s="109" t="s">
        <v>108</v>
      </c>
      <c r="E16" s="109"/>
      <c r="F16" s="109"/>
      <c r="G16" s="69"/>
      <c r="H16" s="69"/>
      <c r="I16" s="70"/>
      <c r="J16" s="1" t="s">
        <v>29</v>
      </c>
      <c r="K16" s="1"/>
    </row>
    <row r="17" spans="1:11" s="64" customFormat="1" ht="184.8" outlineLevel="1">
      <c r="A17" s="65" t="s">
        <v>109</v>
      </c>
      <c r="B17" s="66" t="s">
        <v>403</v>
      </c>
      <c r="C17" s="2" t="s">
        <v>417</v>
      </c>
      <c r="D17" s="96" t="s">
        <v>110</v>
      </c>
      <c r="E17" s="96"/>
      <c r="F17" s="96"/>
      <c r="G17" s="66"/>
      <c r="H17" s="66"/>
      <c r="I17" s="67"/>
      <c r="J17" s="2" t="s">
        <v>29</v>
      </c>
      <c r="K17" s="2"/>
    </row>
    <row r="18" spans="1:11" ht="105.6">
      <c r="A18" s="65" t="s">
        <v>111</v>
      </c>
      <c r="B18" s="66" t="s">
        <v>404</v>
      </c>
      <c r="C18" s="2" t="s">
        <v>418</v>
      </c>
      <c r="D18" s="96" t="s">
        <v>112</v>
      </c>
      <c r="E18" s="96"/>
      <c r="F18" s="96"/>
      <c r="G18" s="66"/>
      <c r="H18" s="66"/>
      <c r="I18" s="67"/>
      <c r="J18" s="2" t="s">
        <v>29</v>
      </c>
      <c r="K18" s="2"/>
    </row>
    <row r="19" spans="1:11" ht="158.4">
      <c r="A19" s="65" t="s">
        <v>113</v>
      </c>
      <c r="B19" s="66" t="s">
        <v>405</v>
      </c>
      <c r="C19" s="2" t="s">
        <v>419</v>
      </c>
      <c r="D19" s="96" t="s">
        <v>114</v>
      </c>
      <c r="E19" s="96"/>
      <c r="F19" s="96"/>
      <c r="G19" s="66"/>
      <c r="H19" s="66"/>
      <c r="I19" s="67"/>
      <c r="J19" s="2" t="s">
        <v>29</v>
      </c>
      <c r="K19" s="2"/>
    </row>
    <row r="20" spans="1:11" ht="171.6">
      <c r="A20" s="65" t="s">
        <v>115</v>
      </c>
      <c r="B20" s="66" t="s">
        <v>406</v>
      </c>
      <c r="C20" s="2" t="s">
        <v>420</v>
      </c>
      <c r="D20" s="96" t="s">
        <v>116</v>
      </c>
      <c r="E20" s="96"/>
      <c r="F20" s="96"/>
      <c r="G20" s="66"/>
      <c r="H20" s="66"/>
      <c r="I20" s="67"/>
      <c r="J20" s="2" t="s">
        <v>29</v>
      </c>
      <c r="K20" s="2"/>
    </row>
    <row r="21" spans="1:11" ht="13.2">
      <c r="A21" s="65"/>
      <c r="B21" s="66"/>
      <c r="C21" s="2"/>
      <c r="D21" s="96"/>
      <c r="E21" s="96"/>
      <c r="F21" s="96"/>
      <c r="G21" s="66"/>
      <c r="H21" s="66"/>
      <c r="I21" s="67"/>
      <c r="J21" s="2"/>
      <c r="K21" s="2"/>
    </row>
    <row r="22" spans="1:11" ht="26.4">
      <c r="A22" s="65" t="s">
        <v>117</v>
      </c>
      <c r="B22" s="66" t="s">
        <v>407</v>
      </c>
      <c r="C22" s="2"/>
      <c r="D22" s="96" t="s">
        <v>118</v>
      </c>
      <c r="E22" s="96"/>
      <c r="F22" s="96"/>
      <c r="G22" s="66"/>
      <c r="H22" s="66"/>
      <c r="I22" s="67"/>
      <c r="J22" s="2" t="s">
        <v>29</v>
      </c>
      <c r="K22" s="2"/>
    </row>
    <row r="23" spans="1:11" ht="26.4">
      <c r="A23" s="65" t="s">
        <v>119</v>
      </c>
      <c r="B23" s="66" t="s">
        <v>408</v>
      </c>
      <c r="C23" s="2"/>
      <c r="D23" s="96" t="s">
        <v>120</v>
      </c>
      <c r="E23" s="96"/>
      <c r="F23" s="96"/>
      <c r="G23" s="66"/>
      <c r="H23" s="66"/>
      <c r="I23" s="67"/>
      <c r="J23" s="2" t="s">
        <v>29</v>
      </c>
      <c r="K23" s="2"/>
    </row>
    <row r="24" spans="1:11" ht="39.6">
      <c r="A24" s="65" t="s">
        <v>121</v>
      </c>
      <c r="B24" s="66" t="s">
        <v>409</v>
      </c>
      <c r="C24" s="2"/>
      <c r="D24" s="96" t="s">
        <v>122</v>
      </c>
      <c r="E24" s="96"/>
      <c r="F24" s="96"/>
      <c r="G24" s="66"/>
      <c r="H24" s="66"/>
      <c r="I24" s="67"/>
      <c r="J24" s="2" t="s">
        <v>29</v>
      </c>
      <c r="K24" s="2"/>
    </row>
    <row r="25" spans="1:11" ht="26.4">
      <c r="A25" s="65" t="s">
        <v>123</v>
      </c>
      <c r="B25" s="66" t="s">
        <v>410</v>
      </c>
      <c r="C25" s="2"/>
      <c r="D25" s="96" t="s">
        <v>124</v>
      </c>
      <c r="E25" s="96"/>
      <c r="F25" s="96"/>
      <c r="G25" s="66"/>
      <c r="H25" s="66"/>
      <c r="I25" s="67"/>
      <c r="J25" s="2" t="s">
        <v>29</v>
      </c>
      <c r="K25" s="2"/>
    </row>
    <row r="26" spans="1:11" ht="39.6">
      <c r="A26" s="65" t="s">
        <v>125</v>
      </c>
      <c r="B26" s="66" t="s">
        <v>411</v>
      </c>
      <c r="C26" s="2"/>
      <c r="D26" s="96" t="s">
        <v>126</v>
      </c>
      <c r="E26" s="96"/>
      <c r="F26" s="96"/>
      <c r="G26" s="66"/>
      <c r="H26" s="66"/>
      <c r="I26" s="67"/>
      <c r="J26" s="2" t="s">
        <v>29</v>
      </c>
      <c r="K26" s="2"/>
    </row>
    <row r="27" spans="1:11" ht="26.4">
      <c r="A27" s="65" t="s">
        <v>127</v>
      </c>
      <c r="B27" s="66" t="s">
        <v>412</v>
      </c>
      <c r="C27" s="2"/>
      <c r="D27" s="96" t="s">
        <v>128</v>
      </c>
      <c r="E27" s="96"/>
      <c r="F27" s="96"/>
      <c r="G27" s="66"/>
      <c r="H27" s="66"/>
      <c r="I27" s="67"/>
      <c r="J27" s="2" t="s">
        <v>29</v>
      </c>
      <c r="K27" s="2"/>
    </row>
    <row r="28" spans="1:11" ht="26.4">
      <c r="A28" s="65" t="s">
        <v>129</v>
      </c>
      <c r="B28" s="66" t="s">
        <v>341</v>
      </c>
      <c r="C28" s="2"/>
      <c r="D28" s="96" t="s">
        <v>130</v>
      </c>
      <c r="E28" s="96"/>
      <c r="F28" s="96"/>
      <c r="G28" s="66"/>
      <c r="H28" s="66"/>
      <c r="I28" s="67"/>
      <c r="J28" s="2" t="s">
        <v>29</v>
      </c>
      <c r="K28" s="2"/>
    </row>
    <row r="29" spans="1:11">
      <c r="C29" s="83"/>
    </row>
    <row r="30" spans="1:11">
      <c r="C30" s="83"/>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36">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3:F13"/>
    <mergeCell ref="D14:F14"/>
    <mergeCell ref="D15:F15"/>
    <mergeCell ref="D16:F16"/>
    <mergeCell ref="D17:F17"/>
    <mergeCell ref="D18:F18"/>
    <mergeCell ref="D19:F19"/>
    <mergeCell ref="D20:F20"/>
    <mergeCell ref="D21:F21"/>
    <mergeCell ref="D22:F22"/>
    <mergeCell ref="D28:F28"/>
    <mergeCell ref="D23:F23"/>
    <mergeCell ref="D24:F24"/>
    <mergeCell ref="D25:F25"/>
    <mergeCell ref="D26:F26"/>
    <mergeCell ref="D27:F27"/>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abSelected="1" topLeftCell="A27" zoomScaleNormal="100" workbookViewId="0">
      <selection activeCell="C31" sqref="C31"/>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131</v>
      </c>
      <c r="C4" s="108"/>
      <c r="D4" s="108"/>
      <c r="E4" s="44"/>
      <c r="F4" s="44"/>
      <c r="G4" s="44"/>
      <c r="H4" s="44"/>
      <c r="I4" s="104"/>
      <c r="J4" s="104"/>
      <c r="K4" s="104"/>
      <c r="L4" s="45"/>
    </row>
    <row r="5" spans="1:12" s="50" customFormat="1" ht="26.25" customHeight="1">
      <c r="A5" s="47" t="s">
        <v>26</v>
      </c>
      <c r="B5" s="102" t="s">
        <v>132</v>
      </c>
      <c r="C5" s="102"/>
      <c r="D5" s="102"/>
      <c r="E5" s="48"/>
      <c r="F5" s="48"/>
      <c r="G5" s="48"/>
      <c r="H5" s="48"/>
      <c r="I5" s="103"/>
      <c r="J5" s="103"/>
      <c r="K5" s="103"/>
      <c r="L5" s="49"/>
    </row>
    <row r="6" spans="1:12" s="46" customFormat="1" ht="18" customHeight="1">
      <c r="A6" s="51" t="s">
        <v>28</v>
      </c>
      <c r="B6" s="52">
        <f>COUNTIF(J10:J100,"Pass")</f>
        <v>0</v>
      </c>
      <c r="C6" s="53" t="s">
        <v>29</v>
      </c>
      <c r="D6" s="54">
        <f>COUNTIF(J10:J7100,"Pending")</f>
        <v>15</v>
      </c>
      <c r="E6" s="3"/>
      <c r="F6" s="3"/>
      <c r="G6" s="3"/>
      <c r="H6" s="3"/>
      <c r="I6" s="104"/>
      <c r="J6" s="104"/>
      <c r="K6" s="104"/>
      <c r="L6" s="45"/>
    </row>
    <row r="7" spans="1:12" s="46" customFormat="1" ht="18" customHeight="1">
      <c r="A7" s="55" t="s">
        <v>30</v>
      </c>
      <c r="B7" s="56">
        <f>COUNTIF(J12:J100,"Fail")</f>
        <v>0</v>
      </c>
      <c r="C7" s="57" t="s">
        <v>31</v>
      </c>
      <c r="D7" s="58">
        <f>COUNTA(A12:A100) - 1</f>
        <v>15</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133</v>
      </c>
      <c r="B12" s="100"/>
      <c r="C12" s="100"/>
      <c r="D12" s="100"/>
      <c r="E12" s="100"/>
      <c r="F12" s="100"/>
      <c r="G12" s="100"/>
      <c r="H12" s="100"/>
      <c r="I12" s="100"/>
      <c r="J12" s="100"/>
      <c r="K12" s="100"/>
    </row>
    <row r="13" spans="1:12" s="64" customFormat="1" ht="145.19999999999999" outlineLevel="1">
      <c r="A13" s="65" t="s">
        <v>134</v>
      </c>
      <c r="B13" s="66" t="s">
        <v>385</v>
      </c>
      <c r="C13" s="2" t="s">
        <v>413</v>
      </c>
      <c r="D13" s="96" t="s">
        <v>135</v>
      </c>
      <c r="E13" s="96"/>
      <c r="F13" s="96"/>
      <c r="G13" s="66"/>
      <c r="H13" s="66"/>
      <c r="I13" s="67"/>
      <c r="J13" s="2" t="s">
        <v>29</v>
      </c>
      <c r="K13" s="2"/>
    </row>
    <row r="14" spans="1:12" s="64" customFormat="1" ht="79.2" outlineLevel="1">
      <c r="A14" s="68" t="s">
        <v>136</v>
      </c>
      <c r="B14" s="66" t="s">
        <v>386</v>
      </c>
      <c r="C14" s="2" t="s">
        <v>414</v>
      </c>
      <c r="D14" s="109" t="s">
        <v>137</v>
      </c>
      <c r="E14" s="109"/>
      <c r="F14" s="109"/>
      <c r="G14" s="69"/>
      <c r="H14" s="69"/>
      <c r="I14" s="70"/>
      <c r="J14" s="1" t="s">
        <v>29</v>
      </c>
      <c r="K14" s="1"/>
    </row>
    <row r="15" spans="1:12" s="64" customFormat="1" ht="105.6" outlineLevel="1">
      <c r="A15" s="65" t="s">
        <v>138</v>
      </c>
      <c r="B15" s="66" t="s">
        <v>387</v>
      </c>
      <c r="C15" s="2" t="s">
        <v>415</v>
      </c>
      <c r="D15" s="96" t="s">
        <v>139</v>
      </c>
      <c r="E15" s="96"/>
      <c r="F15" s="96"/>
      <c r="G15" s="66"/>
      <c r="H15" s="66"/>
      <c r="I15" s="67"/>
      <c r="J15" s="2" t="s">
        <v>29</v>
      </c>
      <c r="K15" s="2"/>
    </row>
    <row r="16" spans="1:12" s="64" customFormat="1" ht="171.6" outlineLevel="1">
      <c r="A16" s="68" t="s">
        <v>140</v>
      </c>
      <c r="B16" s="66" t="s">
        <v>388</v>
      </c>
      <c r="C16" s="2" t="s">
        <v>416</v>
      </c>
      <c r="D16" s="109" t="s">
        <v>141</v>
      </c>
      <c r="E16" s="109"/>
      <c r="F16" s="109"/>
      <c r="G16" s="69"/>
      <c r="H16" s="69"/>
      <c r="I16" s="70"/>
      <c r="J16" s="1" t="s">
        <v>29</v>
      </c>
      <c r="K16" s="1"/>
    </row>
    <row r="17" spans="1:11" s="64" customFormat="1" ht="159.75" customHeight="1" outlineLevel="1">
      <c r="A17" s="65" t="s">
        <v>142</v>
      </c>
      <c r="B17" s="66" t="s">
        <v>389</v>
      </c>
      <c r="C17" s="2" t="s">
        <v>417</v>
      </c>
      <c r="D17" s="96" t="s">
        <v>143</v>
      </c>
      <c r="E17" s="96"/>
      <c r="F17" s="96"/>
      <c r="G17" s="66"/>
      <c r="H17" s="66"/>
      <c r="I17" s="67"/>
      <c r="J17" s="2" t="s">
        <v>29</v>
      </c>
      <c r="K17" s="2"/>
    </row>
    <row r="18" spans="1:11" ht="105.6">
      <c r="A18" s="65" t="s">
        <v>144</v>
      </c>
      <c r="B18" s="66" t="s">
        <v>390</v>
      </c>
      <c r="C18" s="2" t="s">
        <v>418</v>
      </c>
      <c r="D18" s="96" t="s">
        <v>145</v>
      </c>
      <c r="E18" s="96"/>
      <c r="F18" s="96"/>
      <c r="G18" s="66"/>
      <c r="H18" s="66"/>
      <c r="I18" s="67"/>
      <c r="J18" s="2" t="s">
        <v>29</v>
      </c>
      <c r="K18" s="2"/>
    </row>
    <row r="19" spans="1:11" ht="158.4">
      <c r="A19" s="65" t="s">
        <v>146</v>
      </c>
      <c r="B19" s="66" t="s">
        <v>391</v>
      </c>
      <c r="C19" s="2" t="s">
        <v>419</v>
      </c>
      <c r="D19" s="96" t="s">
        <v>147</v>
      </c>
      <c r="E19" s="96"/>
      <c r="F19" s="96"/>
      <c r="G19" s="66"/>
      <c r="H19" s="66"/>
      <c r="I19" s="67"/>
      <c r="J19" s="2" t="s">
        <v>29</v>
      </c>
      <c r="K19" s="2"/>
    </row>
    <row r="20" spans="1:11" ht="171.6">
      <c r="A20" s="65" t="s">
        <v>148</v>
      </c>
      <c r="B20" s="66" t="s">
        <v>392</v>
      </c>
      <c r="C20" s="2" t="s">
        <v>420</v>
      </c>
      <c r="D20" s="96" t="s">
        <v>147</v>
      </c>
      <c r="E20" s="96"/>
      <c r="F20" s="96"/>
      <c r="G20" s="66"/>
      <c r="H20" s="66"/>
      <c r="I20" s="67"/>
      <c r="J20" s="2" t="s">
        <v>29</v>
      </c>
      <c r="K20" s="2"/>
    </row>
    <row r="21" spans="1:11" ht="13.2">
      <c r="A21" s="65"/>
      <c r="B21" s="66"/>
      <c r="C21" s="2"/>
      <c r="D21" s="96"/>
      <c r="E21" s="96"/>
      <c r="F21" s="96"/>
      <c r="G21" s="66"/>
      <c r="H21" s="66"/>
      <c r="I21" s="67"/>
      <c r="J21" s="2"/>
      <c r="K21" s="2"/>
    </row>
    <row r="22" spans="1:11" ht="13.2">
      <c r="A22" s="65" t="s">
        <v>149</v>
      </c>
      <c r="B22" s="66" t="s">
        <v>393</v>
      </c>
      <c r="C22" s="2"/>
      <c r="D22" s="96" t="s">
        <v>150</v>
      </c>
      <c r="E22" s="96"/>
      <c r="F22" s="96"/>
      <c r="G22" s="66"/>
      <c r="H22" s="66"/>
      <c r="I22" s="67"/>
      <c r="J22" s="2" t="s">
        <v>29</v>
      </c>
      <c r="K22" s="2"/>
    </row>
    <row r="23" spans="1:11" ht="26.4">
      <c r="A23" s="65" t="s">
        <v>151</v>
      </c>
      <c r="B23" s="66" t="s">
        <v>394</v>
      </c>
      <c r="C23" s="2"/>
      <c r="D23" s="96" t="s">
        <v>152</v>
      </c>
      <c r="E23" s="96"/>
      <c r="F23" s="96"/>
      <c r="G23" s="66"/>
      <c r="H23" s="66"/>
      <c r="I23" s="67"/>
      <c r="J23" s="2" t="s">
        <v>29</v>
      </c>
      <c r="K23" s="2"/>
    </row>
    <row r="24" spans="1:11" ht="39.6">
      <c r="A24" s="65" t="s">
        <v>153</v>
      </c>
      <c r="B24" s="66" t="s">
        <v>395</v>
      </c>
      <c r="C24" s="2"/>
      <c r="D24" s="96" t="s">
        <v>154</v>
      </c>
      <c r="E24" s="96"/>
      <c r="F24" s="96"/>
      <c r="G24" s="66"/>
      <c r="H24" s="66"/>
      <c r="I24" s="67"/>
      <c r="J24" s="2" t="s">
        <v>29</v>
      </c>
      <c r="K24" s="2"/>
    </row>
    <row r="25" spans="1:11" ht="26.4">
      <c r="A25" s="65" t="s">
        <v>155</v>
      </c>
      <c r="B25" s="66" t="s">
        <v>396</v>
      </c>
      <c r="C25" s="2"/>
      <c r="D25" s="96" t="s">
        <v>156</v>
      </c>
      <c r="E25" s="96"/>
      <c r="F25" s="96"/>
      <c r="G25" s="66"/>
      <c r="H25" s="66"/>
      <c r="I25" s="67"/>
      <c r="J25" s="2" t="s">
        <v>29</v>
      </c>
      <c r="K25" s="2"/>
    </row>
    <row r="26" spans="1:11" ht="26.4">
      <c r="A26" s="65" t="s">
        <v>157</v>
      </c>
      <c r="B26" s="66" t="s">
        <v>397</v>
      </c>
      <c r="C26" s="2"/>
      <c r="D26" s="96" t="s">
        <v>158</v>
      </c>
      <c r="E26" s="96"/>
      <c r="F26" s="96"/>
      <c r="G26" s="66"/>
      <c r="H26" s="66"/>
      <c r="I26" s="67"/>
      <c r="J26" s="2" t="s">
        <v>29</v>
      </c>
      <c r="K26" s="2"/>
    </row>
    <row r="27" spans="1:11" ht="26.4">
      <c r="A27" s="65" t="s">
        <v>159</v>
      </c>
      <c r="B27" s="66" t="s">
        <v>398</v>
      </c>
      <c r="C27" s="2"/>
      <c r="D27" s="96" t="s">
        <v>160</v>
      </c>
      <c r="E27" s="96"/>
      <c r="F27" s="96"/>
      <c r="G27" s="66"/>
      <c r="H27" s="66"/>
      <c r="I27" s="67"/>
      <c r="J27" s="2" t="s">
        <v>29</v>
      </c>
      <c r="K27" s="2"/>
    </row>
    <row r="28" spans="1:11" ht="26.4">
      <c r="A28" s="65" t="s">
        <v>161</v>
      </c>
      <c r="B28" s="66" t="s">
        <v>399</v>
      </c>
      <c r="C28" s="2"/>
      <c r="D28" s="96" t="s">
        <v>162</v>
      </c>
      <c r="E28" s="96"/>
      <c r="F28" s="96"/>
      <c r="G28" s="66"/>
      <c r="H28" s="66"/>
      <c r="I28" s="67"/>
      <c r="J28" s="2" t="s">
        <v>29</v>
      </c>
      <c r="K28" s="2"/>
    </row>
    <row r="29" spans="1:11">
      <c r="C29" s="83"/>
    </row>
    <row r="30" spans="1:11">
      <c r="C30" s="83"/>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36">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3:F13"/>
    <mergeCell ref="D14:F14"/>
    <mergeCell ref="D15:F15"/>
    <mergeCell ref="D16:F16"/>
    <mergeCell ref="D17:F17"/>
    <mergeCell ref="D18:F18"/>
    <mergeCell ref="D19:F19"/>
    <mergeCell ref="D20:F20"/>
    <mergeCell ref="D21:F21"/>
    <mergeCell ref="D22:F22"/>
    <mergeCell ref="D28:F28"/>
    <mergeCell ref="D23:F23"/>
    <mergeCell ref="D24:F24"/>
    <mergeCell ref="D25:F25"/>
    <mergeCell ref="D26:F26"/>
    <mergeCell ref="D27:F27"/>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5"/>
  <sheetViews>
    <sheetView tabSelected="1" topLeftCell="A26" zoomScaleNormal="100" workbookViewId="0">
      <selection activeCell="C31" sqref="C31"/>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163</v>
      </c>
      <c r="C4" s="108"/>
      <c r="D4" s="108"/>
      <c r="E4" s="44"/>
      <c r="F4" s="44"/>
      <c r="G4" s="44"/>
      <c r="H4" s="44"/>
      <c r="I4" s="104"/>
      <c r="J4" s="104"/>
      <c r="K4" s="104"/>
      <c r="L4" s="45"/>
    </row>
    <row r="5" spans="1:12" s="50" customFormat="1" ht="26.25" customHeight="1">
      <c r="A5" s="47" t="s">
        <v>26</v>
      </c>
      <c r="B5" s="102" t="s">
        <v>164</v>
      </c>
      <c r="C5" s="102"/>
      <c r="D5" s="102"/>
      <c r="E5" s="48"/>
      <c r="F5" s="48"/>
      <c r="G5" s="48"/>
      <c r="H5" s="48"/>
      <c r="I5" s="103"/>
      <c r="J5" s="103"/>
      <c r="K5" s="103"/>
      <c r="L5" s="49"/>
    </row>
    <row r="6" spans="1:12" s="46" customFormat="1" ht="18" customHeight="1">
      <c r="A6" s="51" t="s">
        <v>28</v>
      </c>
      <c r="B6" s="52">
        <f>COUNTIF(J10:J100,"Pass")</f>
        <v>0</v>
      </c>
      <c r="C6" s="53" t="s">
        <v>29</v>
      </c>
      <c r="D6" s="54">
        <f>COUNTIF(J10:J7100,"Pending")</f>
        <v>17</v>
      </c>
      <c r="E6" s="3"/>
      <c r="F6" s="3"/>
      <c r="G6" s="3"/>
      <c r="H6" s="3"/>
      <c r="I6" s="104"/>
      <c r="J6" s="104"/>
      <c r="K6" s="104"/>
      <c r="L6" s="45"/>
    </row>
    <row r="7" spans="1:12" s="46" customFormat="1" ht="18" customHeight="1">
      <c r="A7" s="55" t="s">
        <v>30</v>
      </c>
      <c r="B7" s="56">
        <f>COUNTIF(J12:J100,"Fail")</f>
        <v>0</v>
      </c>
      <c r="C7" s="57" t="s">
        <v>31</v>
      </c>
      <c r="D7" s="58">
        <f>COUNTA(A12:A100) - 1</f>
        <v>17</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165</v>
      </c>
      <c r="B12" s="100"/>
      <c r="C12" s="100"/>
      <c r="D12" s="100"/>
      <c r="E12" s="100"/>
      <c r="F12" s="100"/>
      <c r="G12" s="100"/>
      <c r="H12" s="100"/>
      <c r="I12" s="100"/>
      <c r="J12" s="100"/>
      <c r="K12" s="100"/>
    </row>
    <row r="13" spans="1:12" s="64" customFormat="1" ht="145.19999999999999" outlineLevel="1">
      <c r="A13" s="65" t="s">
        <v>166</v>
      </c>
      <c r="B13" s="66" t="s">
        <v>369</v>
      </c>
      <c r="C13" s="2" t="s">
        <v>413</v>
      </c>
      <c r="D13" s="96" t="s">
        <v>167</v>
      </c>
      <c r="E13" s="96"/>
      <c r="F13" s="96"/>
      <c r="G13" s="66"/>
      <c r="H13" s="66"/>
      <c r="I13" s="67"/>
      <c r="J13" s="2" t="s">
        <v>29</v>
      </c>
      <c r="K13" s="2"/>
    </row>
    <row r="14" spans="1:12" s="64" customFormat="1" ht="79.2" outlineLevel="1">
      <c r="A14" s="68" t="s">
        <v>168</v>
      </c>
      <c r="B14" s="66" t="s">
        <v>339</v>
      </c>
      <c r="C14" s="2" t="s">
        <v>414</v>
      </c>
      <c r="D14" s="109" t="s">
        <v>169</v>
      </c>
      <c r="E14" s="109"/>
      <c r="F14" s="109"/>
      <c r="G14" s="69"/>
      <c r="H14" s="69"/>
      <c r="I14" s="70"/>
      <c r="J14" s="1" t="s">
        <v>29</v>
      </c>
      <c r="K14" s="1"/>
    </row>
    <row r="15" spans="1:12" s="64" customFormat="1" ht="105.6" outlineLevel="1">
      <c r="A15" s="65" t="s">
        <v>170</v>
      </c>
      <c r="B15" s="66" t="s">
        <v>370</v>
      </c>
      <c r="C15" s="2" t="s">
        <v>415</v>
      </c>
      <c r="D15" s="96" t="s">
        <v>171</v>
      </c>
      <c r="E15" s="96"/>
      <c r="F15" s="96"/>
      <c r="G15" s="66"/>
      <c r="H15" s="66"/>
      <c r="I15" s="67"/>
      <c r="J15" s="2" t="s">
        <v>29</v>
      </c>
      <c r="K15" s="2"/>
    </row>
    <row r="16" spans="1:12" s="64" customFormat="1" ht="171.6" outlineLevel="1">
      <c r="A16" s="68" t="s">
        <v>172</v>
      </c>
      <c r="B16" s="66" t="s">
        <v>371</v>
      </c>
      <c r="C16" s="2" t="s">
        <v>416</v>
      </c>
      <c r="D16" s="109" t="s">
        <v>173</v>
      </c>
      <c r="E16" s="109"/>
      <c r="F16" s="109"/>
      <c r="G16" s="69"/>
      <c r="H16" s="69"/>
      <c r="I16" s="70"/>
      <c r="J16" s="1" t="s">
        <v>29</v>
      </c>
      <c r="K16" s="1"/>
    </row>
    <row r="17" spans="1:11" s="64" customFormat="1" ht="117" customHeight="1" outlineLevel="1">
      <c r="A17" s="65" t="s">
        <v>174</v>
      </c>
      <c r="B17" s="66" t="s">
        <v>372</v>
      </c>
      <c r="C17" s="2" t="s">
        <v>417</v>
      </c>
      <c r="D17" s="96" t="s">
        <v>175</v>
      </c>
      <c r="E17" s="96"/>
      <c r="F17" s="96"/>
      <c r="G17" s="66"/>
      <c r="H17" s="66"/>
      <c r="I17" s="67"/>
      <c r="J17" s="2" t="s">
        <v>29</v>
      </c>
      <c r="K17" s="2"/>
    </row>
    <row r="18" spans="1:11" ht="105.6">
      <c r="A18" s="65" t="s">
        <v>176</v>
      </c>
      <c r="B18" s="66" t="s">
        <v>373</v>
      </c>
      <c r="C18" s="2" t="s">
        <v>418</v>
      </c>
      <c r="D18" s="96" t="s">
        <v>177</v>
      </c>
      <c r="E18" s="96"/>
      <c r="F18" s="96"/>
      <c r="G18" s="66"/>
      <c r="H18" s="66"/>
      <c r="I18" s="67"/>
      <c r="J18" s="2" t="s">
        <v>29</v>
      </c>
      <c r="K18" s="2"/>
    </row>
    <row r="19" spans="1:11" ht="158.4">
      <c r="A19" s="65" t="s">
        <v>178</v>
      </c>
      <c r="B19" s="66" t="s">
        <v>374</v>
      </c>
      <c r="C19" s="2" t="s">
        <v>419</v>
      </c>
      <c r="D19" s="96" t="s">
        <v>179</v>
      </c>
      <c r="E19" s="96"/>
      <c r="F19" s="96"/>
      <c r="G19" s="66"/>
      <c r="H19" s="66"/>
      <c r="I19" s="67"/>
      <c r="J19" s="2" t="s">
        <v>29</v>
      </c>
      <c r="K19" s="2"/>
    </row>
    <row r="20" spans="1:11" ht="171.6">
      <c r="A20" s="65" t="s">
        <v>180</v>
      </c>
      <c r="B20" s="66" t="s">
        <v>375</v>
      </c>
      <c r="C20" s="2" t="s">
        <v>420</v>
      </c>
      <c r="D20" s="96" t="s">
        <v>128</v>
      </c>
      <c r="E20" s="96"/>
      <c r="F20" s="96"/>
      <c r="G20" s="66"/>
      <c r="H20" s="66"/>
      <c r="I20" s="67"/>
      <c r="J20" s="2" t="s">
        <v>29</v>
      </c>
      <c r="K20" s="2"/>
    </row>
    <row r="21" spans="1:11" ht="13.2">
      <c r="A21" s="65"/>
      <c r="B21" s="66"/>
      <c r="C21" s="2"/>
      <c r="D21" s="96"/>
      <c r="E21" s="96"/>
      <c r="F21" s="96"/>
      <c r="G21" s="66"/>
      <c r="H21" s="66"/>
      <c r="I21" s="67"/>
      <c r="J21" s="2"/>
      <c r="K21" s="2"/>
    </row>
    <row r="22" spans="1:11" ht="13.2">
      <c r="A22" s="65" t="s">
        <v>181</v>
      </c>
      <c r="B22" s="66" t="s">
        <v>376</v>
      </c>
      <c r="C22" s="2"/>
      <c r="D22" s="96" t="s">
        <v>182</v>
      </c>
      <c r="E22" s="96"/>
      <c r="F22" s="96"/>
      <c r="G22" s="66"/>
      <c r="H22" s="66"/>
      <c r="I22" s="67"/>
      <c r="J22" s="2" t="s">
        <v>29</v>
      </c>
      <c r="K22" s="2"/>
    </row>
    <row r="23" spans="1:11" ht="26.4">
      <c r="A23" s="65" t="s">
        <v>183</v>
      </c>
      <c r="B23" s="66" t="s">
        <v>377</v>
      </c>
      <c r="C23" s="2"/>
      <c r="D23" s="96" t="s">
        <v>184</v>
      </c>
      <c r="E23" s="96"/>
      <c r="F23" s="96"/>
      <c r="G23" s="66"/>
      <c r="H23" s="66"/>
      <c r="I23" s="67"/>
      <c r="J23" s="2" t="s">
        <v>29</v>
      </c>
      <c r="K23" s="2"/>
    </row>
    <row r="24" spans="1:11" ht="26.4">
      <c r="A24" s="65" t="s">
        <v>185</v>
      </c>
      <c r="B24" s="66" t="s">
        <v>378</v>
      </c>
      <c r="C24" s="2"/>
      <c r="D24" s="96" t="s">
        <v>186</v>
      </c>
      <c r="E24" s="96"/>
      <c r="F24" s="96"/>
      <c r="G24" s="66"/>
      <c r="H24" s="66"/>
      <c r="I24" s="67"/>
      <c r="J24" s="2" t="s">
        <v>29</v>
      </c>
      <c r="K24" s="2"/>
    </row>
    <row r="25" spans="1:11" ht="26.4">
      <c r="A25" s="65" t="s">
        <v>187</v>
      </c>
      <c r="B25" s="66" t="s">
        <v>379</v>
      </c>
      <c r="C25" s="2"/>
      <c r="D25" s="96" t="s">
        <v>188</v>
      </c>
      <c r="E25" s="96"/>
      <c r="F25" s="96"/>
      <c r="G25" s="66"/>
      <c r="H25" s="66"/>
      <c r="I25" s="67"/>
      <c r="J25" s="2" t="s">
        <v>29</v>
      </c>
      <c r="K25" s="2"/>
    </row>
    <row r="26" spans="1:11" ht="26.4">
      <c r="A26" s="65" t="s">
        <v>189</v>
      </c>
      <c r="B26" s="66" t="s">
        <v>380</v>
      </c>
      <c r="C26" s="2"/>
      <c r="D26" s="96" t="s">
        <v>190</v>
      </c>
      <c r="E26" s="96"/>
      <c r="F26" s="96"/>
      <c r="G26" s="66"/>
      <c r="H26" s="66"/>
      <c r="I26" s="67"/>
      <c r="J26" s="2" t="s">
        <v>29</v>
      </c>
      <c r="K26" s="2"/>
    </row>
    <row r="27" spans="1:11" ht="13.2">
      <c r="A27" s="65" t="s">
        <v>191</v>
      </c>
      <c r="B27" s="66" t="s">
        <v>381</v>
      </c>
      <c r="C27" s="2"/>
      <c r="D27" s="96" t="s">
        <v>192</v>
      </c>
      <c r="E27" s="96"/>
      <c r="F27" s="96"/>
      <c r="G27" s="66"/>
      <c r="H27" s="66"/>
      <c r="I27" s="67"/>
      <c r="J27" s="2" t="s">
        <v>29</v>
      </c>
      <c r="K27" s="2"/>
    </row>
    <row r="28" spans="1:11" ht="13.2">
      <c r="A28" s="65" t="s">
        <v>193</v>
      </c>
      <c r="B28" s="66" t="s">
        <v>382</v>
      </c>
      <c r="C28" s="2"/>
      <c r="D28" s="96" t="s">
        <v>194</v>
      </c>
      <c r="E28" s="96"/>
      <c r="F28" s="96"/>
      <c r="G28" s="66"/>
      <c r="H28" s="66"/>
      <c r="I28" s="67"/>
      <c r="J28" s="2" t="s">
        <v>29</v>
      </c>
      <c r="K28" s="2"/>
    </row>
    <row r="29" spans="1:11" ht="26.4">
      <c r="A29" s="65" t="s">
        <v>195</v>
      </c>
      <c r="B29" s="66" t="s">
        <v>383</v>
      </c>
      <c r="C29" s="2"/>
      <c r="D29" s="96" t="s">
        <v>196</v>
      </c>
      <c r="E29" s="96"/>
      <c r="F29" s="96"/>
      <c r="G29" s="66"/>
      <c r="H29" s="66"/>
      <c r="I29" s="67"/>
      <c r="J29" s="2" t="s">
        <v>29</v>
      </c>
      <c r="K29" s="2"/>
    </row>
    <row r="30" spans="1:11" ht="13.2">
      <c r="A30" s="65" t="s">
        <v>197</v>
      </c>
      <c r="B30" s="66" t="s">
        <v>384</v>
      </c>
      <c r="C30" s="2"/>
      <c r="D30" s="96" t="s">
        <v>198</v>
      </c>
      <c r="E30" s="96"/>
      <c r="F30" s="96"/>
      <c r="G30" s="66"/>
      <c r="H30" s="66"/>
      <c r="I30" s="67"/>
      <c r="J30" s="2" t="s">
        <v>29</v>
      </c>
      <c r="K30" s="2"/>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38">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3:F13"/>
    <mergeCell ref="D14:F14"/>
    <mergeCell ref="D15:F15"/>
    <mergeCell ref="D16:F16"/>
    <mergeCell ref="D17:F17"/>
    <mergeCell ref="D18:F18"/>
    <mergeCell ref="D19:F19"/>
    <mergeCell ref="D20:F20"/>
    <mergeCell ref="D21:F21"/>
    <mergeCell ref="D22:F22"/>
    <mergeCell ref="D28:F28"/>
    <mergeCell ref="D29:F29"/>
    <mergeCell ref="D30:F30"/>
    <mergeCell ref="D23:F23"/>
    <mergeCell ref="D24:F24"/>
    <mergeCell ref="D25:F25"/>
    <mergeCell ref="D26:F26"/>
    <mergeCell ref="D27:F27"/>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5"/>
  <sheetViews>
    <sheetView tabSelected="1" zoomScaleNormal="100" workbookViewId="0">
      <selection activeCell="C31" sqref="C31"/>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199</v>
      </c>
      <c r="C4" s="108"/>
      <c r="D4" s="108"/>
      <c r="E4" s="44"/>
      <c r="F4" s="44"/>
      <c r="G4" s="44"/>
      <c r="H4" s="44"/>
      <c r="I4" s="104"/>
      <c r="J4" s="104"/>
      <c r="K4" s="104"/>
      <c r="L4" s="45"/>
    </row>
    <row r="5" spans="1:12" s="50" customFormat="1" ht="26.25" customHeight="1">
      <c r="A5" s="47" t="s">
        <v>26</v>
      </c>
      <c r="B5" s="102" t="s">
        <v>200</v>
      </c>
      <c r="C5" s="102"/>
      <c r="D5" s="102"/>
      <c r="E5" s="48"/>
      <c r="F5" s="48"/>
      <c r="G5" s="48"/>
      <c r="H5" s="48"/>
      <c r="I5" s="103"/>
      <c r="J5" s="103"/>
      <c r="K5" s="103"/>
      <c r="L5" s="49"/>
    </row>
    <row r="6" spans="1:12" s="46" customFormat="1" ht="18" customHeight="1">
      <c r="A6" s="51" t="s">
        <v>28</v>
      </c>
      <c r="B6" s="52">
        <f>COUNTIF(J10:J100,"Pass")</f>
        <v>0</v>
      </c>
      <c r="C6" s="53" t="s">
        <v>29</v>
      </c>
      <c r="D6" s="54">
        <f>COUNTIF(J10:J7100,"Pending")</f>
        <v>9</v>
      </c>
      <c r="E6" s="3"/>
      <c r="F6" s="3"/>
      <c r="G6" s="3"/>
      <c r="H6" s="3"/>
      <c r="I6" s="104"/>
      <c r="J6" s="104"/>
      <c r="K6" s="104"/>
      <c r="L6" s="45"/>
    </row>
    <row r="7" spans="1:12" s="46" customFormat="1" ht="18" customHeight="1">
      <c r="A7" s="55" t="s">
        <v>30</v>
      </c>
      <c r="B7" s="56">
        <f>COUNTIF(J12:J100,"Fail")</f>
        <v>0</v>
      </c>
      <c r="C7" s="57" t="s">
        <v>31</v>
      </c>
      <c r="D7" s="58">
        <f>COUNTA(A12:A100) - 1</f>
        <v>9</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201</v>
      </c>
      <c r="B12" s="100"/>
      <c r="C12" s="100"/>
      <c r="D12" s="100"/>
      <c r="E12" s="100"/>
      <c r="F12" s="100"/>
      <c r="G12" s="100"/>
      <c r="H12" s="100"/>
      <c r="I12" s="100"/>
      <c r="J12" s="100"/>
      <c r="K12" s="100"/>
    </row>
    <row r="13" spans="1:12" s="64" customFormat="1" ht="145.19999999999999" outlineLevel="1">
      <c r="A13" s="65" t="s">
        <v>202</v>
      </c>
      <c r="B13" s="66" t="s">
        <v>361</v>
      </c>
      <c r="C13" s="2" t="s">
        <v>413</v>
      </c>
      <c r="D13" s="96" t="s">
        <v>203</v>
      </c>
      <c r="E13" s="96"/>
      <c r="F13" s="96"/>
      <c r="G13" s="66"/>
      <c r="H13" s="66"/>
      <c r="I13" s="67"/>
      <c r="J13" s="2" t="s">
        <v>29</v>
      </c>
      <c r="K13" s="2"/>
    </row>
    <row r="14" spans="1:12" s="64" customFormat="1" ht="79.2" outlineLevel="1">
      <c r="A14" s="68" t="s">
        <v>204</v>
      </c>
      <c r="B14" s="66" t="s">
        <v>362</v>
      </c>
      <c r="C14" s="2" t="s">
        <v>414</v>
      </c>
      <c r="D14" s="109" t="s">
        <v>205</v>
      </c>
      <c r="E14" s="109"/>
      <c r="F14" s="109"/>
      <c r="G14" s="69"/>
      <c r="H14" s="69"/>
      <c r="I14" s="70"/>
      <c r="J14" s="1" t="s">
        <v>29</v>
      </c>
      <c r="K14" s="1"/>
    </row>
    <row r="15" spans="1:12" s="64" customFormat="1" ht="105.6" outlineLevel="1">
      <c r="A15" s="65" t="s">
        <v>206</v>
      </c>
      <c r="B15" s="66" t="s">
        <v>363</v>
      </c>
      <c r="C15" s="2" t="s">
        <v>415</v>
      </c>
      <c r="D15" s="96" t="s">
        <v>207</v>
      </c>
      <c r="E15" s="96"/>
      <c r="F15" s="96"/>
      <c r="G15" s="66"/>
      <c r="H15" s="66"/>
      <c r="I15" s="67"/>
      <c r="J15" s="2" t="s">
        <v>29</v>
      </c>
      <c r="K15" s="2"/>
    </row>
    <row r="16" spans="1:12" s="64" customFormat="1" ht="171.6" outlineLevel="1">
      <c r="A16" s="68" t="s">
        <v>208</v>
      </c>
      <c r="B16" s="66" t="s">
        <v>364</v>
      </c>
      <c r="C16" s="2" t="s">
        <v>416</v>
      </c>
      <c r="D16" s="109" t="s">
        <v>209</v>
      </c>
      <c r="E16" s="109"/>
      <c r="F16" s="109"/>
      <c r="G16" s="69"/>
      <c r="H16" s="69"/>
      <c r="I16" s="70"/>
      <c r="J16" s="1" t="s">
        <v>29</v>
      </c>
      <c r="K16" s="1"/>
    </row>
    <row r="17" spans="1:11" s="64" customFormat="1" ht="188.25" customHeight="1" outlineLevel="1">
      <c r="A17" s="65" t="s">
        <v>210</v>
      </c>
      <c r="B17" s="66" t="s">
        <v>365</v>
      </c>
      <c r="C17" s="2" t="s">
        <v>417</v>
      </c>
      <c r="D17" s="96" t="s">
        <v>211</v>
      </c>
      <c r="E17" s="96"/>
      <c r="F17" s="96"/>
      <c r="G17" s="66"/>
      <c r="H17" s="66"/>
      <c r="I17" s="67"/>
      <c r="J17" s="2" t="s">
        <v>29</v>
      </c>
      <c r="K17" s="2"/>
    </row>
    <row r="18" spans="1:11" ht="105.6">
      <c r="A18" s="65" t="s">
        <v>212</v>
      </c>
      <c r="B18" s="66" t="s">
        <v>366</v>
      </c>
      <c r="C18" s="2" t="s">
        <v>418</v>
      </c>
      <c r="D18" s="96" t="s">
        <v>213</v>
      </c>
      <c r="E18" s="96"/>
      <c r="F18" s="96"/>
      <c r="G18" s="66"/>
      <c r="H18" s="66"/>
      <c r="I18" s="67"/>
      <c r="J18" s="2" t="s">
        <v>29</v>
      </c>
      <c r="K18" s="2"/>
    </row>
    <row r="19" spans="1:11" ht="158.4">
      <c r="A19" s="65" t="s">
        <v>214</v>
      </c>
      <c r="B19" s="66" t="s">
        <v>367</v>
      </c>
      <c r="C19" s="2" t="s">
        <v>419</v>
      </c>
      <c r="D19" s="96" t="s">
        <v>215</v>
      </c>
      <c r="E19" s="96"/>
      <c r="F19" s="96"/>
      <c r="G19" s="66"/>
      <c r="H19" s="66"/>
      <c r="I19" s="67"/>
      <c r="J19" s="2" t="s">
        <v>29</v>
      </c>
      <c r="K19" s="2"/>
    </row>
    <row r="20" spans="1:11" ht="171.6">
      <c r="A20" s="65" t="s">
        <v>216</v>
      </c>
      <c r="B20" s="66" t="s">
        <v>368</v>
      </c>
      <c r="C20" s="2" t="s">
        <v>420</v>
      </c>
      <c r="D20" s="96" t="s">
        <v>217</v>
      </c>
      <c r="E20" s="96"/>
      <c r="F20" s="96"/>
      <c r="G20" s="66"/>
      <c r="H20" s="66"/>
      <c r="I20" s="67"/>
      <c r="J20" s="2" t="s">
        <v>29</v>
      </c>
      <c r="K20" s="2"/>
    </row>
    <row r="21" spans="1:11" ht="13.2">
      <c r="A21" s="65"/>
      <c r="B21" s="66"/>
      <c r="C21" s="2"/>
      <c r="D21" s="96"/>
      <c r="E21" s="96"/>
      <c r="F21" s="96"/>
      <c r="G21" s="66"/>
      <c r="H21" s="66"/>
      <c r="I21" s="67"/>
      <c r="J21" s="2"/>
      <c r="K21" s="2"/>
    </row>
    <row r="22" spans="1:11" ht="26.4">
      <c r="A22" s="65" t="s">
        <v>218</v>
      </c>
      <c r="B22" s="66" t="s">
        <v>338</v>
      </c>
      <c r="C22" s="2"/>
      <c r="D22" s="96" t="s">
        <v>219</v>
      </c>
      <c r="E22" s="96"/>
      <c r="F22" s="96"/>
      <c r="G22" s="66"/>
      <c r="H22" s="66"/>
      <c r="I22" s="67"/>
      <c r="J22" s="2" t="s">
        <v>29</v>
      </c>
      <c r="K22" s="2"/>
    </row>
    <row r="23" spans="1:11">
      <c r="C23" s="83"/>
    </row>
    <row r="24" spans="1:11">
      <c r="C24" s="83"/>
    </row>
    <row r="25" spans="1:11">
      <c r="C25" s="83"/>
    </row>
    <row r="26" spans="1:11">
      <c r="C26" s="83"/>
    </row>
    <row r="27" spans="1:11">
      <c r="C27" s="83"/>
    </row>
    <row r="28" spans="1:11">
      <c r="C28" s="83"/>
    </row>
    <row r="29" spans="1:11">
      <c r="C29" s="83"/>
    </row>
    <row r="30" spans="1:11">
      <c r="C30" s="83"/>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30">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3:F13"/>
    <mergeCell ref="D14:F14"/>
    <mergeCell ref="D15:F15"/>
    <mergeCell ref="D16:F16"/>
    <mergeCell ref="D17:F17"/>
    <mergeCell ref="D18:F18"/>
    <mergeCell ref="D19:F19"/>
    <mergeCell ref="D20:F20"/>
    <mergeCell ref="D21:F21"/>
    <mergeCell ref="D22:F2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55"/>
  <sheetViews>
    <sheetView tabSelected="1" topLeftCell="A19" zoomScaleNormal="100" workbookViewId="0">
      <selection activeCell="C31" sqref="C31"/>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220</v>
      </c>
      <c r="C4" s="108"/>
      <c r="D4" s="108"/>
      <c r="E4" s="44"/>
      <c r="F4" s="44"/>
      <c r="G4" s="44"/>
      <c r="H4" s="44"/>
      <c r="I4" s="104"/>
      <c r="J4" s="104"/>
      <c r="K4" s="104"/>
      <c r="L4" s="45"/>
    </row>
    <row r="5" spans="1:12" s="50" customFormat="1" ht="26.25" customHeight="1">
      <c r="A5" s="47" t="s">
        <v>26</v>
      </c>
      <c r="B5" s="102" t="s">
        <v>221</v>
      </c>
      <c r="C5" s="102"/>
      <c r="D5" s="102"/>
      <c r="E5" s="48"/>
      <c r="F5" s="48"/>
      <c r="G5" s="48"/>
      <c r="H5" s="48"/>
      <c r="I5" s="103"/>
      <c r="J5" s="103"/>
      <c r="K5" s="103"/>
      <c r="L5" s="49"/>
    </row>
    <row r="6" spans="1:12" s="46" customFormat="1" ht="18" customHeight="1">
      <c r="A6" s="51" t="s">
        <v>28</v>
      </c>
      <c r="B6" s="52">
        <f>COUNTIF(J10:J100,"Pass")</f>
        <v>0</v>
      </c>
      <c r="C6" s="53" t="s">
        <v>29</v>
      </c>
      <c r="D6" s="54">
        <f>COUNTIF(J10:J7100,"Pending")</f>
        <v>8</v>
      </c>
      <c r="E6" s="3"/>
      <c r="F6" s="3"/>
      <c r="G6" s="3"/>
      <c r="H6" s="3"/>
      <c r="I6" s="104"/>
      <c r="J6" s="104"/>
      <c r="K6" s="104"/>
      <c r="L6" s="45"/>
    </row>
    <row r="7" spans="1:12" s="46" customFormat="1" ht="18" customHeight="1">
      <c r="A7" s="55" t="s">
        <v>30</v>
      </c>
      <c r="B7" s="56">
        <f>COUNTIF(J12:J100,"Fail")</f>
        <v>0</v>
      </c>
      <c r="C7" s="57" t="s">
        <v>31</v>
      </c>
      <c r="D7" s="58">
        <f>COUNTA(A12:A100) - 1</f>
        <v>8</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222</v>
      </c>
      <c r="B12" s="100"/>
      <c r="C12" s="100"/>
      <c r="D12" s="100"/>
      <c r="E12" s="100"/>
      <c r="F12" s="100"/>
      <c r="G12" s="100"/>
      <c r="H12" s="100"/>
      <c r="I12" s="100"/>
      <c r="J12" s="100"/>
      <c r="K12" s="100"/>
    </row>
    <row r="13" spans="1:12" s="64" customFormat="1" ht="145.19999999999999" outlineLevel="1">
      <c r="A13" s="65" t="s">
        <v>223</v>
      </c>
      <c r="B13" s="66" t="s">
        <v>356</v>
      </c>
      <c r="C13" s="2" t="s">
        <v>413</v>
      </c>
      <c r="D13" s="96" t="s">
        <v>224</v>
      </c>
      <c r="E13" s="96"/>
      <c r="F13" s="96"/>
      <c r="G13" s="66"/>
      <c r="H13" s="66"/>
      <c r="I13" s="67"/>
      <c r="J13" s="2" t="s">
        <v>29</v>
      </c>
      <c r="K13" s="2"/>
    </row>
    <row r="14" spans="1:12" s="64" customFormat="1" ht="79.2" outlineLevel="1">
      <c r="A14" s="68" t="s">
        <v>225</v>
      </c>
      <c r="B14" s="66" t="s">
        <v>357</v>
      </c>
      <c r="C14" s="2" t="s">
        <v>414</v>
      </c>
      <c r="D14" s="109" t="s">
        <v>226</v>
      </c>
      <c r="E14" s="109"/>
      <c r="F14" s="109"/>
      <c r="G14" s="69"/>
      <c r="H14" s="69"/>
      <c r="I14" s="70"/>
      <c r="J14" s="1" t="s">
        <v>29</v>
      </c>
      <c r="K14" s="1"/>
    </row>
    <row r="15" spans="1:12" s="64" customFormat="1" ht="105.6" outlineLevel="1">
      <c r="A15" s="65" t="s">
        <v>227</v>
      </c>
      <c r="B15" s="66" t="s">
        <v>335</v>
      </c>
      <c r="C15" s="2" t="s">
        <v>415</v>
      </c>
      <c r="D15" s="96" t="s">
        <v>228</v>
      </c>
      <c r="E15" s="96"/>
      <c r="F15" s="96"/>
      <c r="G15" s="66"/>
      <c r="H15" s="66"/>
      <c r="I15" s="67"/>
      <c r="J15" s="2" t="s">
        <v>29</v>
      </c>
      <c r="K15" s="2"/>
    </row>
    <row r="16" spans="1:12" s="64" customFormat="1" ht="171.6" outlineLevel="1">
      <c r="A16" s="68" t="s">
        <v>229</v>
      </c>
      <c r="B16" s="66" t="s">
        <v>358</v>
      </c>
      <c r="C16" s="2" t="s">
        <v>416</v>
      </c>
      <c r="D16" s="109" t="s">
        <v>230</v>
      </c>
      <c r="E16" s="109"/>
      <c r="F16" s="109"/>
      <c r="G16" s="69"/>
      <c r="H16" s="69"/>
      <c r="I16" s="70"/>
      <c r="J16" s="1" t="s">
        <v>29</v>
      </c>
      <c r="K16" s="1"/>
    </row>
    <row r="17" spans="1:11" s="64" customFormat="1" ht="245.25" customHeight="1" outlineLevel="1">
      <c r="A17" s="65" t="s">
        <v>231</v>
      </c>
      <c r="B17" s="66" t="s">
        <v>359</v>
      </c>
      <c r="C17" s="2" t="s">
        <v>417</v>
      </c>
      <c r="D17" s="96" t="s">
        <v>232</v>
      </c>
      <c r="E17" s="96"/>
      <c r="F17" s="96"/>
      <c r="G17" s="66"/>
      <c r="H17" s="66"/>
      <c r="I17" s="67"/>
      <c r="J17" s="2" t="s">
        <v>29</v>
      </c>
      <c r="K17" s="2"/>
    </row>
    <row r="18" spans="1:11" ht="105.6">
      <c r="A18" s="65" t="s">
        <v>233</v>
      </c>
      <c r="B18" s="66" t="s">
        <v>360</v>
      </c>
      <c r="C18" s="2" t="s">
        <v>418</v>
      </c>
      <c r="D18" s="96" t="s">
        <v>234</v>
      </c>
      <c r="E18" s="96"/>
      <c r="F18" s="96"/>
      <c r="G18" s="66"/>
      <c r="H18" s="66"/>
      <c r="I18" s="67"/>
      <c r="J18" s="2" t="s">
        <v>29</v>
      </c>
      <c r="K18" s="2"/>
    </row>
    <row r="19" spans="1:11" ht="158.4">
      <c r="A19" s="65" t="s">
        <v>235</v>
      </c>
      <c r="B19" s="66" t="s">
        <v>336</v>
      </c>
      <c r="C19" s="2" t="s">
        <v>419</v>
      </c>
      <c r="D19" s="96" t="s">
        <v>236</v>
      </c>
      <c r="E19" s="96"/>
      <c r="F19" s="96"/>
      <c r="G19" s="66"/>
      <c r="H19" s="66"/>
      <c r="I19" s="67"/>
      <c r="J19" s="2" t="s">
        <v>29</v>
      </c>
      <c r="K19" s="2"/>
    </row>
    <row r="20" spans="1:11" ht="171.6">
      <c r="A20" s="65" t="s">
        <v>237</v>
      </c>
      <c r="B20" s="66" t="s">
        <v>337</v>
      </c>
      <c r="C20" s="2" t="s">
        <v>420</v>
      </c>
      <c r="D20" s="96" t="s">
        <v>238</v>
      </c>
      <c r="E20" s="96"/>
      <c r="F20" s="96"/>
      <c r="G20" s="66"/>
      <c r="H20" s="66"/>
      <c r="I20" s="67"/>
      <c r="J20" s="2" t="s">
        <v>29</v>
      </c>
      <c r="K20" s="2"/>
    </row>
    <row r="21" spans="1:11">
      <c r="C21" s="83"/>
    </row>
    <row r="22" spans="1:11">
      <c r="C22" s="83"/>
    </row>
    <row r="23" spans="1:11">
      <c r="C23" s="83"/>
    </row>
    <row r="24" spans="1:11">
      <c r="C24" s="83"/>
    </row>
    <row r="25" spans="1:11">
      <c r="C25" s="83"/>
    </row>
    <row r="26" spans="1:11">
      <c r="C26" s="83"/>
    </row>
    <row r="27" spans="1:11">
      <c r="C27" s="83"/>
    </row>
    <row r="28" spans="1:11">
      <c r="C28" s="83"/>
    </row>
    <row r="29" spans="1:11">
      <c r="C29" s="83"/>
    </row>
    <row r="30" spans="1:11">
      <c r="C30" s="83"/>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28">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8:F18"/>
    <mergeCell ref="D19:F19"/>
    <mergeCell ref="D20:F20"/>
    <mergeCell ref="D13:F13"/>
    <mergeCell ref="D14:F14"/>
    <mergeCell ref="D15:F15"/>
    <mergeCell ref="D16:F16"/>
    <mergeCell ref="D17:F17"/>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5"/>
  <sheetViews>
    <sheetView tabSelected="1" topLeftCell="A19" zoomScaleNormal="100" workbookViewId="0">
      <selection activeCell="C31" sqref="C31"/>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239</v>
      </c>
      <c r="C4" s="108"/>
      <c r="D4" s="108"/>
      <c r="E4" s="44"/>
      <c r="F4" s="44"/>
      <c r="G4" s="44"/>
      <c r="H4" s="44"/>
      <c r="I4" s="104"/>
      <c r="J4" s="104"/>
      <c r="K4" s="104"/>
      <c r="L4" s="45"/>
    </row>
    <row r="5" spans="1:12" s="50" customFormat="1" ht="26.25" customHeight="1">
      <c r="A5" s="47" t="s">
        <v>26</v>
      </c>
      <c r="B5" s="102" t="s">
        <v>240</v>
      </c>
      <c r="C5" s="102"/>
      <c r="D5" s="102"/>
      <c r="E5" s="48"/>
      <c r="F5" s="48"/>
      <c r="G5" s="48"/>
      <c r="H5" s="48"/>
      <c r="I5" s="103"/>
      <c r="J5" s="103"/>
      <c r="K5" s="103"/>
      <c r="L5" s="49"/>
    </row>
    <row r="6" spans="1:12" s="46" customFormat="1" ht="18" customHeight="1">
      <c r="A6" s="51" t="s">
        <v>28</v>
      </c>
      <c r="B6" s="52">
        <f>COUNTIF(J10:J100,"Pass")</f>
        <v>0</v>
      </c>
      <c r="C6" s="53" t="s">
        <v>29</v>
      </c>
      <c r="D6" s="54">
        <f>COUNTIF(J10:J7100,"Pending")</f>
        <v>8</v>
      </c>
      <c r="E6" s="3"/>
      <c r="F6" s="3"/>
      <c r="G6" s="3"/>
      <c r="H6" s="3"/>
      <c r="I6" s="104"/>
      <c r="J6" s="104"/>
      <c r="K6" s="104"/>
      <c r="L6" s="45"/>
    </row>
    <row r="7" spans="1:12" s="46" customFormat="1" ht="18" customHeight="1">
      <c r="A7" s="55" t="s">
        <v>30</v>
      </c>
      <c r="B7" s="56">
        <f>COUNTIF(J12:J100,"Fail")</f>
        <v>0</v>
      </c>
      <c r="C7" s="57" t="s">
        <v>31</v>
      </c>
      <c r="D7" s="58">
        <f>COUNTA(A12:A100) - 1</f>
        <v>8</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241</v>
      </c>
      <c r="B12" s="100"/>
      <c r="C12" s="100"/>
      <c r="D12" s="100"/>
      <c r="E12" s="100"/>
      <c r="F12" s="100"/>
      <c r="G12" s="100"/>
      <c r="H12" s="100"/>
      <c r="I12" s="100"/>
      <c r="J12" s="100"/>
      <c r="K12" s="100"/>
    </row>
    <row r="13" spans="1:12" s="64" customFormat="1" ht="145.19999999999999" outlineLevel="1">
      <c r="A13" s="65" t="s">
        <v>242</v>
      </c>
      <c r="B13" s="66" t="s">
        <v>332</v>
      </c>
      <c r="C13" s="2" t="s">
        <v>413</v>
      </c>
      <c r="D13" s="96" t="s">
        <v>243</v>
      </c>
      <c r="E13" s="96"/>
      <c r="F13" s="96"/>
      <c r="G13" s="66"/>
      <c r="H13" s="66"/>
      <c r="I13" s="67"/>
      <c r="J13" s="2" t="s">
        <v>29</v>
      </c>
      <c r="K13" s="2"/>
    </row>
    <row r="14" spans="1:12" s="64" customFormat="1" ht="79.2" outlineLevel="1">
      <c r="A14" s="68" t="s">
        <v>244</v>
      </c>
      <c r="B14" s="66" t="s">
        <v>333</v>
      </c>
      <c r="C14" s="2" t="s">
        <v>414</v>
      </c>
      <c r="D14" s="109" t="s">
        <v>245</v>
      </c>
      <c r="E14" s="109"/>
      <c r="F14" s="109"/>
      <c r="G14" s="69"/>
      <c r="H14" s="69"/>
      <c r="I14" s="70"/>
      <c r="J14" s="1" t="s">
        <v>29</v>
      </c>
      <c r="K14" s="1"/>
    </row>
    <row r="15" spans="1:12" s="64" customFormat="1" ht="105.6" outlineLevel="1">
      <c r="A15" s="65" t="s">
        <v>246</v>
      </c>
      <c r="B15" s="66" t="s">
        <v>351</v>
      </c>
      <c r="C15" s="2" t="s">
        <v>415</v>
      </c>
      <c r="D15" s="96" t="s">
        <v>247</v>
      </c>
      <c r="E15" s="96"/>
      <c r="F15" s="96"/>
      <c r="G15" s="66"/>
      <c r="H15" s="66"/>
      <c r="I15" s="67"/>
      <c r="J15" s="2" t="s">
        <v>29</v>
      </c>
      <c r="K15" s="2"/>
    </row>
    <row r="16" spans="1:12" s="64" customFormat="1" ht="171.6" outlineLevel="1">
      <c r="A16" s="68" t="s">
        <v>248</v>
      </c>
      <c r="B16" s="66" t="s">
        <v>334</v>
      </c>
      <c r="C16" s="2" t="s">
        <v>416</v>
      </c>
      <c r="D16" s="109" t="s">
        <v>249</v>
      </c>
      <c r="E16" s="109"/>
      <c r="F16" s="109"/>
      <c r="G16" s="69"/>
      <c r="H16" s="69"/>
      <c r="I16" s="70"/>
      <c r="J16" s="1" t="s">
        <v>29</v>
      </c>
      <c r="K16" s="1"/>
    </row>
    <row r="17" spans="1:11" s="64" customFormat="1" ht="188.25" customHeight="1" outlineLevel="1">
      <c r="A17" s="65" t="s">
        <v>250</v>
      </c>
      <c r="B17" s="66" t="s">
        <v>352</v>
      </c>
      <c r="C17" s="2" t="s">
        <v>417</v>
      </c>
      <c r="D17" s="96" t="s">
        <v>251</v>
      </c>
      <c r="E17" s="96"/>
      <c r="F17" s="96"/>
      <c r="G17" s="66"/>
      <c r="H17" s="66"/>
      <c r="I17" s="67"/>
      <c r="J17" s="2" t="s">
        <v>29</v>
      </c>
      <c r="K17" s="2"/>
    </row>
    <row r="18" spans="1:11" ht="105.6">
      <c r="A18" s="65" t="s">
        <v>252</v>
      </c>
      <c r="B18" s="66" t="s">
        <v>353</v>
      </c>
      <c r="C18" s="2" t="s">
        <v>418</v>
      </c>
      <c r="D18" s="96" t="s">
        <v>253</v>
      </c>
      <c r="E18" s="96"/>
      <c r="F18" s="96"/>
      <c r="G18" s="66"/>
      <c r="H18" s="66"/>
      <c r="I18" s="67"/>
      <c r="J18" s="2" t="s">
        <v>29</v>
      </c>
      <c r="K18" s="2"/>
    </row>
    <row r="19" spans="1:11" ht="158.4">
      <c r="A19" s="65" t="s">
        <v>254</v>
      </c>
      <c r="B19" s="66" t="s">
        <v>354</v>
      </c>
      <c r="C19" s="2" t="s">
        <v>419</v>
      </c>
      <c r="D19" s="96" t="s">
        <v>255</v>
      </c>
      <c r="E19" s="96"/>
      <c r="F19" s="96"/>
      <c r="G19" s="66"/>
      <c r="H19" s="66"/>
      <c r="I19" s="67"/>
      <c r="J19" s="2" t="s">
        <v>29</v>
      </c>
      <c r="K19" s="2"/>
    </row>
    <row r="20" spans="1:11" ht="171.6">
      <c r="A20" s="65" t="s">
        <v>256</v>
      </c>
      <c r="B20" s="66" t="s">
        <v>355</v>
      </c>
      <c r="C20" s="2" t="s">
        <v>420</v>
      </c>
      <c r="D20" s="96" t="s">
        <v>257</v>
      </c>
      <c r="E20" s="96"/>
      <c r="F20" s="96"/>
      <c r="G20" s="66"/>
      <c r="H20" s="66"/>
      <c r="I20" s="67"/>
      <c r="J20" s="2" t="s">
        <v>29</v>
      </c>
      <c r="K20" s="2"/>
    </row>
    <row r="21" spans="1:11">
      <c r="C21" s="83"/>
    </row>
    <row r="22" spans="1:11">
      <c r="C22" s="83"/>
    </row>
    <row r="23" spans="1:11">
      <c r="C23" s="83"/>
    </row>
    <row r="24" spans="1:11">
      <c r="C24" s="83"/>
    </row>
    <row r="25" spans="1:11">
      <c r="C25" s="83"/>
    </row>
    <row r="26" spans="1:11">
      <c r="C26" s="83"/>
    </row>
    <row r="27" spans="1:11">
      <c r="C27" s="83"/>
    </row>
    <row r="28" spans="1:11">
      <c r="C28" s="83"/>
    </row>
    <row r="29" spans="1:11">
      <c r="C29" s="83"/>
    </row>
    <row r="30" spans="1:11">
      <c r="C30" s="83"/>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28">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8:F18"/>
    <mergeCell ref="D19:F19"/>
    <mergeCell ref="D20:F20"/>
    <mergeCell ref="D13:F13"/>
    <mergeCell ref="D14:F14"/>
    <mergeCell ref="D15:F15"/>
    <mergeCell ref="D16:F16"/>
    <mergeCell ref="D17:F17"/>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55"/>
  <sheetViews>
    <sheetView tabSelected="1" topLeftCell="A19" zoomScaleNormal="100" workbookViewId="0">
      <selection activeCell="C31" sqref="C31"/>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258</v>
      </c>
      <c r="C4" s="108"/>
      <c r="D4" s="108"/>
      <c r="E4" s="44"/>
      <c r="F4" s="44"/>
      <c r="G4" s="44"/>
      <c r="H4" s="44"/>
      <c r="I4" s="104"/>
      <c r="J4" s="104"/>
      <c r="K4" s="104"/>
      <c r="L4" s="45"/>
    </row>
    <row r="5" spans="1:12" s="50" customFormat="1" ht="26.25" customHeight="1">
      <c r="A5" s="47" t="s">
        <v>26</v>
      </c>
      <c r="B5" s="102" t="s">
        <v>259</v>
      </c>
      <c r="C5" s="102"/>
      <c r="D5" s="102"/>
      <c r="E5" s="48"/>
      <c r="F5" s="48"/>
      <c r="G5" s="48"/>
      <c r="H5" s="48"/>
      <c r="I5" s="103"/>
      <c r="J5" s="103"/>
      <c r="K5" s="103"/>
      <c r="L5" s="49"/>
    </row>
    <row r="6" spans="1:12" s="46" customFormat="1" ht="18" customHeight="1">
      <c r="A6" s="51" t="s">
        <v>28</v>
      </c>
      <c r="B6" s="52">
        <f>COUNTIF(J10:J100,"Pass")</f>
        <v>0</v>
      </c>
      <c r="C6" s="53" t="s">
        <v>29</v>
      </c>
      <c r="D6" s="54">
        <f>COUNTIF(J10:J7100,"Pending")</f>
        <v>8</v>
      </c>
      <c r="E6" s="3"/>
      <c r="F6" s="3"/>
      <c r="G6" s="3"/>
      <c r="H6" s="3"/>
      <c r="I6" s="104"/>
      <c r="J6" s="104"/>
      <c r="K6" s="104"/>
      <c r="L6" s="45"/>
    </row>
    <row r="7" spans="1:12" s="46" customFormat="1" ht="18" customHeight="1">
      <c r="A7" s="55" t="s">
        <v>30</v>
      </c>
      <c r="B7" s="56">
        <f>COUNTIF(J12:J100,"Fail")</f>
        <v>0</v>
      </c>
      <c r="C7" s="57" t="s">
        <v>31</v>
      </c>
      <c r="D7" s="58">
        <f>COUNTA(A12:A100) - 1</f>
        <v>8</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260</v>
      </c>
      <c r="B12" s="100"/>
      <c r="C12" s="100"/>
      <c r="D12" s="100"/>
      <c r="E12" s="100"/>
      <c r="F12" s="100"/>
      <c r="G12" s="100"/>
      <c r="H12" s="100"/>
      <c r="I12" s="100"/>
      <c r="J12" s="100"/>
      <c r="K12" s="100"/>
    </row>
    <row r="13" spans="1:12" s="64" customFormat="1" ht="145.19999999999999" outlineLevel="1">
      <c r="A13" s="65" t="s">
        <v>261</v>
      </c>
      <c r="B13" s="66" t="s">
        <v>345</v>
      </c>
      <c r="C13" s="2" t="s">
        <v>413</v>
      </c>
      <c r="D13" s="96" t="s">
        <v>262</v>
      </c>
      <c r="E13" s="96"/>
      <c r="F13" s="96"/>
      <c r="G13" s="66"/>
      <c r="H13" s="66"/>
      <c r="I13" s="67"/>
      <c r="J13" s="2" t="s">
        <v>29</v>
      </c>
      <c r="K13" s="2"/>
    </row>
    <row r="14" spans="1:12" s="64" customFormat="1" ht="79.2" outlineLevel="1">
      <c r="A14" s="68" t="s">
        <v>263</v>
      </c>
      <c r="B14" s="66" t="s">
        <v>346</v>
      </c>
      <c r="C14" s="2" t="s">
        <v>414</v>
      </c>
      <c r="D14" s="109" t="s">
        <v>264</v>
      </c>
      <c r="E14" s="109"/>
      <c r="F14" s="109"/>
      <c r="G14" s="69"/>
      <c r="H14" s="69"/>
      <c r="I14" s="70"/>
      <c r="J14" s="1" t="s">
        <v>29</v>
      </c>
      <c r="K14" s="1"/>
    </row>
    <row r="15" spans="1:12" s="64" customFormat="1" ht="105.6" outlineLevel="1">
      <c r="A15" s="65" t="s">
        <v>265</v>
      </c>
      <c r="B15" s="66" t="s">
        <v>330</v>
      </c>
      <c r="C15" s="2" t="s">
        <v>415</v>
      </c>
      <c r="D15" s="96" t="s">
        <v>266</v>
      </c>
      <c r="E15" s="96"/>
      <c r="F15" s="96"/>
      <c r="G15" s="66"/>
      <c r="H15" s="66"/>
      <c r="I15" s="67"/>
      <c r="J15" s="2" t="s">
        <v>29</v>
      </c>
      <c r="K15" s="2"/>
    </row>
    <row r="16" spans="1:12" s="64" customFormat="1" ht="171.6" outlineLevel="1">
      <c r="A16" s="68" t="s">
        <v>267</v>
      </c>
      <c r="B16" s="66" t="s">
        <v>347</v>
      </c>
      <c r="C16" s="2" t="s">
        <v>416</v>
      </c>
      <c r="D16" s="109" t="s">
        <v>268</v>
      </c>
      <c r="E16" s="109"/>
      <c r="F16" s="109"/>
      <c r="G16" s="69"/>
      <c r="H16" s="69"/>
      <c r="I16" s="70"/>
      <c r="J16" s="1" t="s">
        <v>29</v>
      </c>
      <c r="K16" s="1"/>
    </row>
    <row r="17" spans="1:11" s="64" customFormat="1" ht="188.25" customHeight="1" outlineLevel="1">
      <c r="A17" s="65" t="s">
        <v>269</v>
      </c>
      <c r="B17" s="66" t="s">
        <v>331</v>
      </c>
      <c r="C17" s="2" t="s">
        <v>417</v>
      </c>
      <c r="D17" s="96" t="s">
        <v>270</v>
      </c>
      <c r="E17" s="96"/>
      <c r="F17" s="96"/>
      <c r="G17" s="66"/>
      <c r="H17" s="66"/>
      <c r="I17" s="67"/>
      <c r="J17" s="2" t="s">
        <v>29</v>
      </c>
      <c r="K17" s="2"/>
    </row>
    <row r="18" spans="1:11" ht="105.6">
      <c r="A18" s="65" t="s">
        <v>271</v>
      </c>
      <c r="B18" s="66" t="s">
        <v>348</v>
      </c>
      <c r="C18" s="2" t="s">
        <v>418</v>
      </c>
      <c r="D18" s="96" t="s">
        <v>272</v>
      </c>
      <c r="E18" s="96"/>
      <c r="F18" s="96"/>
      <c r="G18" s="66"/>
      <c r="H18" s="66"/>
      <c r="I18" s="67"/>
      <c r="J18" s="2" t="s">
        <v>29</v>
      </c>
      <c r="K18" s="2"/>
    </row>
    <row r="19" spans="1:11" ht="158.4">
      <c r="A19" s="65" t="s">
        <v>273</v>
      </c>
      <c r="B19" s="66" t="s">
        <v>349</v>
      </c>
      <c r="C19" s="2" t="s">
        <v>419</v>
      </c>
      <c r="D19" s="96" t="s">
        <v>274</v>
      </c>
      <c r="E19" s="96"/>
      <c r="F19" s="96"/>
      <c r="G19" s="66"/>
      <c r="H19" s="66"/>
      <c r="I19" s="67"/>
      <c r="J19" s="2" t="s">
        <v>29</v>
      </c>
      <c r="K19" s="2"/>
    </row>
    <row r="20" spans="1:11" ht="171.6">
      <c r="A20" s="65" t="s">
        <v>275</v>
      </c>
      <c r="B20" s="66" t="s">
        <v>350</v>
      </c>
      <c r="C20" s="2" t="s">
        <v>420</v>
      </c>
      <c r="D20" s="96" t="s">
        <v>276</v>
      </c>
      <c r="E20" s="96"/>
      <c r="F20" s="96"/>
      <c r="G20" s="66"/>
      <c r="H20" s="66"/>
      <c r="I20" s="67"/>
      <c r="J20" s="2" t="s">
        <v>29</v>
      </c>
      <c r="K20" s="2"/>
    </row>
    <row r="21" spans="1:11" ht="13.2">
      <c r="A21" s="65"/>
      <c r="B21" s="66"/>
      <c r="C21" s="2"/>
      <c r="D21" s="96"/>
      <c r="E21" s="96"/>
      <c r="F21" s="96"/>
      <c r="G21" s="66"/>
      <c r="H21" s="66"/>
      <c r="I21" s="67"/>
      <c r="J21" s="2"/>
      <c r="K21" s="2"/>
    </row>
    <row r="22" spans="1:11">
      <c r="C22" s="83"/>
    </row>
    <row r="23" spans="1:11">
      <c r="C23" s="83"/>
    </row>
    <row r="24" spans="1:11">
      <c r="C24" s="83"/>
    </row>
    <row r="25" spans="1:11">
      <c r="C25" s="83"/>
    </row>
    <row r="26" spans="1:11">
      <c r="C26" s="83"/>
    </row>
    <row r="27" spans="1:11">
      <c r="C27" s="83"/>
    </row>
    <row r="28" spans="1:11">
      <c r="C28" s="83"/>
    </row>
    <row r="29" spans="1:11">
      <c r="C29" s="83"/>
    </row>
    <row r="30" spans="1:11">
      <c r="C30" s="83"/>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29">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8:F18"/>
    <mergeCell ref="D19:F19"/>
    <mergeCell ref="D20:F20"/>
    <mergeCell ref="D21:F21"/>
    <mergeCell ref="D13:F13"/>
    <mergeCell ref="D14:F14"/>
    <mergeCell ref="D15:F15"/>
    <mergeCell ref="D16:F16"/>
    <mergeCell ref="D17:F17"/>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55"/>
  <sheetViews>
    <sheetView tabSelected="1" topLeftCell="A20" zoomScaleNormal="100" workbookViewId="0">
      <selection activeCell="C31" sqref="C31"/>
    </sheetView>
  </sheetViews>
  <sheetFormatPr defaultColWidth="8.77734375" defaultRowHeight="13.8" outlineLevelRow="1"/>
  <cols>
    <col min="1" max="1" width="15.6640625" customWidth="1"/>
    <col min="2" max="2" width="18.109375" customWidth="1"/>
    <col min="3" max="3" width="42.109375" customWidth="1"/>
    <col min="6" max="6" width="23.6640625" customWidth="1"/>
    <col min="7" max="7" width="18.44140625" hidden="1" customWidth="1"/>
    <col min="8" max="8" width="38" customWidth="1"/>
    <col min="9" max="9" width="17.109375" customWidth="1"/>
    <col min="10" max="10" width="8.77734375" style="11"/>
    <col min="11" max="11" width="18" customWidth="1"/>
  </cols>
  <sheetData>
    <row r="1" spans="1:12" s="42" customFormat="1" ht="12.75" customHeight="1">
      <c r="A1" s="38" t="s">
        <v>0</v>
      </c>
      <c r="B1" s="106"/>
      <c r="C1" s="106"/>
      <c r="D1" s="106"/>
      <c r="E1" s="39"/>
      <c r="F1" s="39"/>
      <c r="G1" s="39"/>
      <c r="H1" s="39"/>
      <c r="I1" s="39"/>
      <c r="J1" s="40"/>
      <c r="K1" s="39"/>
      <c r="L1" s="41"/>
    </row>
    <row r="2" spans="1:12" s="42" customFormat="1" ht="11.25" customHeight="1">
      <c r="A2" s="41"/>
      <c r="B2" s="106"/>
      <c r="C2" s="106"/>
      <c r="D2" s="106"/>
      <c r="E2" s="39"/>
      <c r="F2" s="39"/>
      <c r="G2" s="39"/>
      <c r="H2" s="39"/>
      <c r="I2" s="39"/>
      <c r="J2" s="40"/>
      <c r="K2" s="39"/>
      <c r="L2" s="41"/>
    </row>
    <row r="3" spans="1:12" s="46" customFormat="1" ht="15" customHeight="1">
      <c r="A3" s="43" t="s">
        <v>23</v>
      </c>
      <c r="B3" s="107" t="s">
        <v>4</v>
      </c>
      <c r="C3" s="107"/>
      <c r="D3" s="107"/>
      <c r="E3" s="44"/>
      <c r="F3" s="44"/>
      <c r="G3" s="44"/>
      <c r="H3" s="44"/>
      <c r="I3" s="104"/>
      <c r="J3" s="104"/>
      <c r="K3" s="104"/>
      <c r="L3" s="45"/>
    </row>
    <row r="4" spans="1:12" s="46" customFormat="1" ht="12.75" customHeight="1">
      <c r="A4" s="47" t="s">
        <v>24</v>
      </c>
      <c r="B4" s="108" t="s">
        <v>277</v>
      </c>
      <c r="C4" s="108"/>
      <c r="D4" s="108"/>
      <c r="E4" s="44"/>
      <c r="F4" s="44"/>
      <c r="G4" s="44"/>
      <c r="H4" s="44"/>
      <c r="I4" s="104"/>
      <c r="J4" s="104"/>
      <c r="K4" s="104"/>
      <c r="L4" s="45"/>
    </row>
    <row r="5" spans="1:12" s="50" customFormat="1" ht="26.25" customHeight="1">
      <c r="A5" s="47" t="s">
        <v>26</v>
      </c>
      <c r="B5" s="102" t="s">
        <v>278</v>
      </c>
      <c r="C5" s="102"/>
      <c r="D5" s="102"/>
      <c r="E5" s="48"/>
      <c r="F5" s="48"/>
      <c r="G5" s="48"/>
      <c r="H5" s="48"/>
      <c r="I5" s="103"/>
      <c r="J5" s="103"/>
      <c r="K5" s="103"/>
      <c r="L5" s="49"/>
    </row>
    <row r="6" spans="1:12" s="46" customFormat="1" ht="18" customHeight="1">
      <c r="A6" s="51" t="s">
        <v>28</v>
      </c>
      <c r="B6" s="52">
        <f>COUNTIF(J10:J100,"Pass")</f>
        <v>0</v>
      </c>
      <c r="C6" s="53" t="s">
        <v>29</v>
      </c>
      <c r="D6" s="54">
        <f>COUNTIF(J10:J7100,"Pending")</f>
        <v>8</v>
      </c>
      <c r="E6" s="3"/>
      <c r="F6" s="3"/>
      <c r="G6" s="3"/>
      <c r="H6" s="3"/>
      <c r="I6" s="104"/>
      <c r="J6" s="104"/>
      <c r="K6" s="104"/>
      <c r="L6" s="45"/>
    </row>
    <row r="7" spans="1:12" s="46" customFormat="1" ht="18" customHeight="1">
      <c r="A7" s="55" t="s">
        <v>30</v>
      </c>
      <c r="B7" s="56">
        <f>COUNTIF(J12:J100,"Fail")</f>
        <v>0</v>
      </c>
      <c r="C7" s="57" t="s">
        <v>31</v>
      </c>
      <c r="D7" s="58">
        <f>COUNTA(A12:A100) - 1</f>
        <v>8</v>
      </c>
      <c r="E7" s="59"/>
      <c r="F7" s="59"/>
      <c r="G7" s="59"/>
      <c r="H7" s="59"/>
      <c r="I7" s="104"/>
      <c r="J7" s="104"/>
      <c r="K7" s="104"/>
      <c r="L7" s="45"/>
    </row>
    <row r="8" spans="1:12" s="46" customFormat="1" ht="15" customHeight="1">
      <c r="A8" s="105"/>
      <c r="B8" s="105"/>
      <c r="C8" s="105"/>
      <c r="D8" s="105"/>
      <c r="E8" s="3"/>
      <c r="F8" s="3"/>
      <c r="G8" s="3"/>
      <c r="H8" s="3"/>
      <c r="I8" s="3"/>
      <c r="J8" s="60"/>
      <c r="K8" s="60"/>
      <c r="L8" s="45"/>
    </row>
    <row r="9" spans="1:12" s="62" customFormat="1" ht="18" customHeight="1">
      <c r="A9" s="98" t="s">
        <v>32</v>
      </c>
      <c r="B9" s="101" t="s">
        <v>33</v>
      </c>
      <c r="C9" s="98" t="s">
        <v>34</v>
      </c>
      <c r="D9" s="98" t="s">
        <v>35</v>
      </c>
      <c r="E9" s="98"/>
      <c r="F9" s="98"/>
      <c r="G9" s="98"/>
      <c r="H9" s="98" t="s">
        <v>36</v>
      </c>
      <c r="I9" s="97" t="s">
        <v>37</v>
      </c>
      <c r="J9" s="97" t="s">
        <v>38</v>
      </c>
      <c r="K9" s="97" t="s">
        <v>39</v>
      </c>
      <c r="L9" s="61"/>
    </row>
    <row r="10" spans="1:12" s="46" customFormat="1" ht="12" customHeight="1">
      <c r="A10" s="98"/>
      <c r="B10" s="98"/>
      <c r="C10" s="98"/>
      <c r="D10" s="98"/>
      <c r="E10" s="98"/>
      <c r="F10" s="98"/>
      <c r="G10" s="98"/>
      <c r="H10" s="98"/>
      <c r="I10" s="98"/>
      <c r="J10" s="98"/>
      <c r="K10" s="98"/>
      <c r="L10" s="45"/>
    </row>
    <row r="11" spans="1:12" s="63" customFormat="1" ht="15" customHeight="1">
      <c r="A11" s="99"/>
      <c r="B11" s="99"/>
      <c r="C11" s="99"/>
      <c r="D11" s="99"/>
      <c r="E11" s="99"/>
      <c r="F11" s="99"/>
      <c r="G11" s="99"/>
      <c r="H11" s="99"/>
      <c r="I11" s="99"/>
      <c r="J11" s="99"/>
      <c r="K11" s="99"/>
    </row>
    <row r="12" spans="1:12" s="64" customFormat="1" ht="12.75" customHeight="1">
      <c r="A12" s="100" t="s">
        <v>279</v>
      </c>
      <c r="B12" s="100"/>
      <c r="C12" s="100"/>
      <c r="D12" s="100"/>
      <c r="E12" s="100"/>
      <c r="F12" s="100"/>
      <c r="G12" s="100"/>
      <c r="H12" s="100"/>
      <c r="I12" s="100"/>
      <c r="J12" s="100"/>
      <c r="K12" s="100"/>
    </row>
    <row r="13" spans="1:12" s="64" customFormat="1" ht="145.19999999999999" outlineLevel="1">
      <c r="A13" s="65" t="s">
        <v>280</v>
      </c>
      <c r="B13" s="66" t="s">
        <v>342</v>
      </c>
      <c r="C13" s="2" t="s">
        <v>413</v>
      </c>
      <c r="D13" s="96" t="s">
        <v>281</v>
      </c>
      <c r="E13" s="96"/>
      <c r="F13" s="96"/>
      <c r="G13" s="66"/>
      <c r="H13" s="66"/>
      <c r="I13" s="67"/>
      <c r="J13" s="2" t="s">
        <v>29</v>
      </c>
      <c r="K13" s="2"/>
    </row>
    <row r="14" spans="1:12" s="64" customFormat="1" ht="79.2" outlineLevel="1">
      <c r="A14" s="68" t="s">
        <v>282</v>
      </c>
      <c r="B14" s="66" t="s">
        <v>343</v>
      </c>
      <c r="C14" s="2" t="s">
        <v>414</v>
      </c>
      <c r="D14" s="109" t="s">
        <v>283</v>
      </c>
      <c r="E14" s="109"/>
      <c r="F14" s="109"/>
      <c r="G14" s="69"/>
      <c r="H14" s="69"/>
      <c r="I14" s="70"/>
      <c r="J14" s="1" t="s">
        <v>29</v>
      </c>
      <c r="K14" s="1"/>
    </row>
    <row r="15" spans="1:12" s="64" customFormat="1" ht="105.6" outlineLevel="1">
      <c r="A15" s="65" t="s">
        <v>284</v>
      </c>
      <c r="B15" s="66" t="s">
        <v>325</v>
      </c>
      <c r="C15" s="2" t="s">
        <v>415</v>
      </c>
      <c r="D15" s="96" t="s">
        <v>285</v>
      </c>
      <c r="E15" s="96"/>
      <c r="F15" s="96"/>
      <c r="G15" s="66"/>
      <c r="H15" s="66"/>
      <c r="I15" s="67"/>
      <c r="J15" s="2" t="s">
        <v>29</v>
      </c>
      <c r="K15" s="2"/>
    </row>
    <row r="16" spans="1:12" s="64" customFormat="1" ht="171.6" outlineLevel="1">
      <c r="A16" s="68" t="s">
        <v>286</v>
      </c>
      <c r="B16" s="66" t="s">
        <v>326</v>
      </c>
      <c r="C16" s="2" t="s">
        <v>416</v>
      </c>
      <c r="D16" s="109" t="s">
        <v>287</v>
      </c>
      <c r="E16" s="109"/>
      <c r="F16" s="109"/>
      <c r="G16" s="69"/>
      <c r="H16" s="69"/>
      <c r="I16" s="70"/>
      <c r="J16" s="1" t="s">
        <v>29</v>
      </c>
      <c r="K16" s="1"/>
    </row>
    <row r="17" spans="1:11" s="64" customFormat="1" ht="188.25" customHeight="1" outlineLevel="1">
      <c r="A17" s="65" t="s">
        <v>288</v>
      </c>
      <c r="B17" s="66" t="s">
        <v>327</v>
      </c>
      <c r="C17" s="2" t="s">
        <v>417</v>
      </c>
      <c r="D17" s="96" t="s">
        <v>289</v>
      </c>
      <c r="E17" s="96"/>
      <c r="F17" s="96"/>
      <c r="G17" s="66"/>
      <c r="H17" s="66"/>
      <c r="I17" s="67"/>
      <c r="J17" s="2" t="s">
        <v>29</v>
      </c>
      <c r="K17" s="2"/>
    </row>
    <row r="18" spans="1:11" ht="105.6">
      <c r="A18" s="65" t="s">
        <v>290</v>
      </c>
      <c r="B18" s="66" t="s">
        <v>328</v>
      </c>
      <c r="C18" s="2" t="s">
        <v>418</v>
      </c>
      <c r="D18" s="96" t="s">
        <v>291</v>
      </c>
      <c r="E18" s="96"/>
      <c r="F18" s="96"/>
      <c r="G18" s="66"/>
      <c r="H18" s="66"/>
      <c r="I18" s="67"/>
      <c r="J18" s="2" t="s">
        <v>29</v>
      </c>
      <c r="K18" s="2"/>
    </row>
    <row r="19" spans="1:11" ht="158.4">
      <c r="A19" s="65" t="s">
        <v>292</v>
      </c>
      <c r="B19" s="66" t="s">
        <v>329</v>
      </c>
      <c r="C19" s="2" t="s">
        <v>419</v>
      </c>
      <c r="D19" s="96" t="s">
        <v>293</v>
      </c>
      <c r="E19" s="96"/>
      <c r="F19" s="96"/>
      <c r="G19" s="66"/>
      <c r="H19" s="66"/>
      <c r="I19" s="67"/>
      <c r="J19" s="2" t="s">
        <v>29</v>
      </c>
      <c r="K19" s="2"/>
    </row>
    <row r="20" spans="1:11" ht="171.6">
      <c r="A20" s="65" t="s">
        <v>294</v>
      </c>
      <c r="B20" s="66" t="s">
        <v>344</v>
      </c>
      <c r="C20" s="2" t="s">
        <v>420</v>
      </c>
      <c r="D20" s="96" t="s">
        <v>295</v>
      </c>
      <c r="E20" s="96"/>
      <c r="F20" s="96"/>
      <c r="G20" s="66"/>
      <c r="H20" s="66"/>
      <c r="I20" s="67"/>
      <c r="J20" s="2" t="s">
        <v>29</v>
      </c>
      <c r="K20" s="2"/>
    </row>
    <row r="21" spans="1:11" ht="13.2">
      <c r="A21" s="65"/>
      <c r="B21" s="66"/>
      <c r="C21" s="2"/>
      <c r="D21" s="96"/>
      <c r="E21" s="96"/>
      <c r="F21" s="96"/>
      <c r="G21" s="66"/>
      <c r="H21" s="66"/>
      <c r="I21" s="67"/>
      <c r="J21" s="2"/>
      <c r="K21" s="2"/>
    </row>
    <row r="22" spans="1:11">
      <c r="C22" s="83"/>
    </row>
    <row r="23" spans="1:11">
      <c r="C23" s="83"/>
    </row>
    <row r="24" spans="1:11">
      <c r="C24" s="83"/>
    </row>
    <row r="25" spans="1:11">
      <c r="C25" s="83"/>
    </row>
    <row r="26" spans="1:11">
      <c r="C26" s="83"/>
    </row>
    <row r="27" spans="1:11">
      <c r="C27" s="83"/>
    </row>
    <row r="28" spans="1:11">
      <c r="C28" s="83"/>
    </row>
    <row r="29" spans="1:11">
      <c r="C29" s="83"/>
    </row>
    <row r="30" spans="1:11">
      <c r="C30" s="83"/>
    </row>
    <row r="31" spans="1:11" ht="12" customHeight="1"/>
    <row r="32" spans="1:11"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sheetData>
  <mergeCells count="29">
    <mergeCell ref="B1:D2"/>
    <mergeCell ref="B3:D3"/>
    <mergeCell ref="I3:K3"/>
    <mergeCell ref="B4:D4"/>
    <mergeCell ref="I4:K4"/>
    <mergeCell ref="B5:D5"/>
    <mergeCell ref="I5:K5"/>
    <mergeCell ref="I6:K6"/>
    <mergeCell ref="I7:K7"/>
    <mergeCell ref="A8:D8"/>
    <mergeCell ref="I9:I10"/>
    <mergeCell ref="J9:J10"/>
    <mergeCell ref="K9:K10"/>
    <mergeCell ref="A11:K11"/>
    <mergeCell ref="A12:K12"/>
    <mergeCell ref="A9:A10"/>
    <mergeCell ref="B9:B10"/>
    <mergeCell ref="C9:C10"/>
    <mergeCell ref="D9:G10"/>
    <mergeCell ref="H9:H10"/>
    <mergeCell ref="D18:F18"/>
    <mergeCell ref="D19:F19"/>
    <mergeCell ref="D20:F20"/>
    <mergeCell ref="D21:F21"/>
    <mergeCell ref="D13:F13"/>
    <mergeCell ref="D14:F14"/>
    <mergeCell ref="D15:F15"/>
    <mergeCell ref="D16:F16"/>
    <mergeCell ref="D17:F17"/>
  </mergeCell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21"/>
  <sheetViews>
    <sheetView zoomScaleNormal="100" workbookViewId="0">
      <selection activeCell="G21" sqref="G21"/>
    </sheetView>
  </sheetViews>
  <sheetFormatPr defaultColWidth="8.77734375" defaultRowHeight="13.2"/>
  <cols>
    <col min="3" max="3" width="28.33203125" customWidth="1"/>
    <col min="7" max="7" width="18.77734375" customWidth="1"/>
  </cols>
  <sheetData>
    <row r="1" spans="1:7" ht="21.75" customHeight="1">
      <c r="A1" s="71" t="s">
        <v>296</v>
      </c>
      <c r="B1" s="72"/>
      <c r="C1" s="73"/>
      <c r="D1" s="73"/>
      <c r="E1" s="73"/>
      <c r="F1" s="73"/>
      <c r="G1" s="74"/>
    </row>
    <row r="2" spans="1:7" ht="14.25" customHeight="1">
      <c r="A2" s="71"/>
      <c r="B2" s="72"/>
      <c r="C2" s="73"/>
      <c r="D2" s="73"/>
      <c r="E2" s="73"/>
      <c r="F2" s="73"/>
      <c r="G2" s="74"/>
    </row>
    <row r="3" spans="1:7" ht="13.5" customHeight="1">
      <c r="B3" s="11" t="s">
        <v>297</v>
      </c>
      <c r="C3" s="73"/>
      <c r="D3" s="73"/>
      <c r="E3" s="73"/>
      <c r="F3" s="73"/>
      <c r="G3" s="74"/>
    </row>
    <row r="4" spans="1:7" ht="13.5" customHeight="1">
      <c r="B4" s="11" t="s">
        <v>298</v>
      </c>
      <c r="C4" s="75"/>
      <c r="D4" s="11"/>
      <c r="E4" s="11"/>
      <c r="F4" s="11"/>
      <c r="G4" s="11"/>
    </row>
    <row r="5" spans="1:7" ht="13.5" customHeight="1">
      <c r="A5" s="11"/>
      <c r="B5" s="11"/>
      <c r="C5" s="11"/>
      <c r="D5" s="11"/>
      <c r="E5" s="11"/>
      <c r="F5" s="11"/>
      <c r="G5" s="11"/>
    </row>
    <row r="6" spans="1:7" ht="13.5" customHeight="1">
      <c r="A6" s="11"/>
      <c r="B6" s="11"/>
      <c r="C6" s="11"/>
      <c r="D6" s="11"/>
      <c r="E6" s="11"/>
      <c r="F6" s="11"/>
      <c r="G6" s="11"/>
    </row>
    <row r="7" spans="1:7" ht="26.25" customHeight="1">
      <c r="A7" s="11"/>
      <c r="B7" s="76" t="s">
        <v>299</v>
      </c>
      <c r="C7" s="77" t="s">
        <v>300</v>
      </c>
      <c r="D7" s="78" t="s">
        <v>28</v>
      </c>
      <c r="E7" s="77" t="s">
        <v>30</v>
      </c>
      <c r="F7" s="77" t="s">
        <v>29</v>
      </c>
      <c r="G7" s="79" t="s">
        <v>301</v>
      </c>
    </row>
    <row r="8" spans="1:7" s="83" customFormat="1" ht="13.5" customHeight="1">
      <c r="A8" s="80"/>
      <c r="B8" s="81">
        <v>1</v>
      </c>
      <c r="C8" s="25" t="str">
        <f>'Xác thực &amp; phân quyền'!B4</f>
        <v>AUTH - Xác thực &amp; phân quyền</v>
      </c>
      <c r="D8" s="82">
        <f>'Xác thực &amp; phân quyền'!B6</f>
        <v>0</v>
      </c>
      <c r="E8" s="25">
        <f>'Xác thực &amp; phân quyền'!B7</f>
        <v>0</v>
      </c>
      <c r="F8" s="25">
        <f>'Xác thực &amp; phân quyền'!D6</f>
        <v>11</v>
      </c>
      <c r="G8" s="82">
        <f>'Xác thực &amp; phân quyền'!D7</f>
        <v>11</v>
      </c>
    </row>
    <row r="9" spans="1:7" ht="13.5" customHeight="1">
      <c r="A9" s="11"/>
      <c r="B9" s="84">
        <v>2</v>
      </c>
      <c r="C9" s="85" t="str">
        <f>'Người dùng &amp; phòng ban'!B4</f>
        <v>ORG - Người dùng &amp; Chain / Region / Store</v>
      </c>
      <c r="D9" s="86">
        <f>'Người dùng &amp; phòng ban'!B6</f>
        <v>0</v>
      </c>
      <c r="E9" s="86">
        <f>'Người dùng &amp; phòng ban'!B7</f>
        <v>0</v>
      </c>
      <c r="F9" s="86">
        <f>'Người dùng &amp; phòng ban'!D6</f>
        <v>13</v>
      </c>
      <c r="G9" s="87">
        <f>'Người dùng &amp; phòng ban'!D7</f>
        <v>13</v>
      </c>
    </row>
    <row r="10" spans="1:7" ht="13.5" customHeight="1">
      <c r="A10" s="11"/>
      <c r="B10" s="84">
        <v>3</v>
      </c>
      <c r="C10" s="85" t="str">
        <f>'Quản lý khoá học'!B4</f>
        <v>CRS - Quản lý khóa học &amp; phạm vi</v>
      </c>
      <c r="D10" s="86">
        <f>'Quản lý khoá học'!B6</f>
        <v>0</v>
      </c>
      <c r="E10" s="86">
        <f>'Quản lý khoá học'!B7</f>
        <v>0</v>
      </c>
      <c r="F10" s="86">
        <f>'Quản lý khoá học'!D6</f>
        <v>15</v>
      </c>
      <c r="G10" s="87">
        <f>'Quản lý khoá học'!D7</f>
        <v>15</v>
      </c>
    </row>
    <row r="11" spans="1:7" ht="13.5" customHeight="1">
      <c r="A11" s="11"/>
      <c r="B11" s="84">
        <v>4</v>
      </c>
      <c r="C11" s="85" t="str">
        <f>'Ghi danh &amp; tiến độ học'!B4</f>
        <v>ENR - Ghi danh &amp; tiến độ học</v>
      </c>
      <c r="D11" s="86">
        <f>'Ghi danh &amp; tiến độ học'!B6</f>
        <v>0</v>
      </c>
      <c r="E11" s="86">
        <f>'Ghi danh &amp; tiến độ học'!B7</f>
        <v>0</v>
      </c>
      <c r="F11" s="86">
        <f>'Ghi danh &amp; tiến độ học'!D6</f>
        <v>15</v>
      </c>
      <c r="G11" s="87">
        <f>'Ghi danh &amp; tiến độ học'!D7</f>
        <v>15</v>
      </c>
    </row>
    <row r="12" spans="1:7" ht="13.5" customHeight="1">
      <c r="A12" s="11"/>
      <c r="B12" s="84">
        <v>5</v>
      </c>
      <c r="C12" s="85" t="str">
        <f>'Bài kiểm tra &amp; làm bài'!B4</f>
        <v>TST - Bài kiểm tra, câu hỏi &amp; lượt làm</v>
      </c>
      <c r="D12" s="86">
        <f>'Bài kiểm tra &amp; làm bài'!B6</f>
        <v>0</v>
      </c>
      <c r="E12" s="86">
        <f>'Bài kiểm tra &amp; làm bài'!B7</f>
        <v>0</v>
      </c>
      <c r="F12" s="86">
        <f>'Bài kiểm tra &amp; làm bài'!D6</f>
        <v>17</v>
      </c>
      <c r="G12" s="87">
        <f>'Bài kiểm tra &amp; làm bài'!D7</f>
        <v>17</v>
      </c>
    </row>
    <row r="13" spans="1:7" ht="13.5" customHeight="1">
      <c r="A13" s="11"/>
      <c r="B13" s="84">
        <v>6</v>
      </c>
      <c r="C13" s="85" t="str">
        <f>'Chứng chỉ'!B4</f>
        <v>CRT - Chứng chỉ</v>
      </c>
      <c r="D13" s="86">
        <f>'Chứng chỉ'!B6</f>
        <v>0</v>
      </c>
      <c r="E13" s="86">
        <f>'Chứng chỉ'!B7</f>
        <v>0</v>
      </c>
      <c r="F13" s="86">
        <f>'Chứng chỉ'!D6</f>
        <v>9</v>
      </c>
      <c r="G13" s="87">
        <f>'Chứng chỉ'!D7</f>
        <v>9</v>
      </c>
    </row>
    <row r="14" spans="1:7" ht="13.5" customHeight="1">
      <c r="A14" s="11"/>
      <c r="B14" s="84">
        <v>7</v>
      </c>
      <c r="C14" s="85" t="str">
        <f>'Diễn đàn khoá học'!B4</f>
        <v>FRM - Diễn đàn khóa học</v>
      </c>
      <c r="D14" s="86">
        <f>'Diễn đàn khoá học'!B6</f>
        <v>0</v>
      </c>
      <c r="E14" s="86">
        <f>'Diễn đàn khoá học'!B7</f>
        <v>0</v>
      </c>
      <c r="F14" s="86">
        <f>'Diễn đàn khoá học'!D6</f>
        <v>8</v>
      </c>
      <c r="G14" s="87">
        <f>'Diễn đàn khoá học'!D7</f>
        <v>8</v>
      </c>
    </row>
    <row r="15" spans="1:7" ht="13.5" customHeight="1">
      <c r="A15" s="11"/>
      <c r="B15" s="84">
        <v>8</v>
      </c>
      <c r="C15" s="85" t="str">
        <f>'Trợ lý ảo &amp; hàng đợi trainer'!B4</f>
        <v>BOT - Trợ lý ảo &amp; hàng đợi Trainer</v>
      </c>
      <c r="D15" s="86">
        <f>'Trợ lý ảo &amp; hàng đợi trainer'!B6</f>
        <v>0</v>
      </c>
      <c r="E15" s="86">
        <f>'Trợ lý ảo &amp; hàng đợi trainer'!B7</f>
        <v>0</v>
      </c>
      <c r="F15" s="86">
        <f>'Trợ lý ảo &amp; hàng đợi trainer'!D6</f>
        <v>8</v>
      </c>
      <c r="G15" s="87">
        <f>'Trợ lý ảo &amp; hàng đợi trainer'!D7</f>
        <v>8</v>
      </c>
    </row>
    <row r="16" spans="1:7" ht="13.5" customHeight="1">
      <c r="A16" s="11"/>
      <c r="B16" s="84">
        <v>9</v>
      </c>
      <c r="C16" s="85" t="str">
        <f>'Thông báo &amp; điểm thưởng'!B4</f>
        <v>NTF - Thông báo &amp; điểm thưởng</v>
      </c>
      <c r="D16" s="86">
        <f>'Thông báo &amp; điểm thưởng'!B6</f>
        <v>0</v>
      </c>
      <c r="E16" s="86">
        <f>'Thông báo &amp; điểm thưởng'!B7</f>
        <v>0</v>
      </c>
      <c r="F16" s="86">
        <f>'Thông báo &amp; điểm thưởng'!D6</f>
        <v>8</v>
      </c>
      <c r="G16" s="87">
        <f>'Thông báo &amp; điểm thưởng'!D7</f>
        <v>8</v>
      </c>
    </row>
    <row r="17" spans="1:7" ht="13.5" customHeight="1">
      <c r="A17" s="11"/>
      <c r="B17" s="84">
        <v>10</v>
      </c>
      <c r="C17" s="85" t="str">
        <f>'Trang quản trị'!B4</f>
        <v>ADM - Trang quản trị &amp; vận hành</v>
      </c>
      <c r="D17" s="86">
        <f>'Trang quản trị'!B6</f>
        <v>0</v>
      </c>
      <c r="E17" s="86">
        <f>'Trang quản trị'!B7</f>
        <v>0</v>
      </c>
      <c r="F17" s="86">
        <f>'Trang quản trị'!D6</f>
        <v>8</v>
      </c>
      <c r="G17" s="87">
        <f>'Trang quản trị'!D7</f>
        <v>8</v>
      </c>
    </row>
    <row r="18" spans="1:7" ht="13.5" customHeight="1">
      <c r="A18" s="11"/>
      <c r="B18" s="88"/>
      <c r="C18" s="89" t="s">
        <v>302</v>
      </c>
      <c r="D18" s="90">
        <f>SUM(D8:D17)</f>
        <v>0</v>
      </c>
      <c r="E18" s="90">
        <f>SUM(E8:E17)</f>
        <v>0</v>
      </c>
      <c r="F18" s="90">
        <f>SUM(F8:F17)</f>
        <v>112</v>
      </c>
      <c r="G18" s="90">
        <f>SUM(G8:G17)</f>
        <v>112</v>
      </c>
    </row>
    <row r="19" spans="1:7" ht="13.5" customHeight="1">
      <c r="A19" s="11"/>
      <c r="B19" s="91"/>
      <c r="C19" s="11"/>
      <c r="D19" s="92"/>
      <c r="E19" s="93"/>
      <c r="F19" s="93"/>
      <c r="G19" s="93"/>
    </row>
    <row r="20" spans="1:7" ht="13.5" customHeight="1">
      <c r="A20" s="11"/>
      <c r="B20" s="11"/>
      <c r="C20" s="11" t="s">
        <v>303</v>
      </c>
      <c r="D20" s="11"/>
      <c r="E20" s="94">
        <f>(D18+E18)*100/G18</f>
        <v>0</v>
      </c>
      <c r="F20" s="11" t="s">
        <v>304</v>
      </c>
      <c r="G20" s="95"/>
    </row>
    <row r="21" spans="1:7" ht="13.5" customHeight="1">
      <c r="A21" s="11"/>
      <c r="B21" s="11"/>
      <c r="C21" s="11" t="s">
        <v>305</v>
      </c>
      <c r="D21" s="11"/>
      <c r="E21" s="94">
        <f>D18*100/G18</f>
        <v>0</v>
      </c>
      <c r="F21" s="11" t="s">
        <v>304</v>
      </c>
      <c r="G21" s="95"/>
    </row>
  </sheetData>
  <pageMargins left="0.75" right="0.75" top="1" bottom="1" header="0.511811023622047" footer="0.5"/>
  <pageSetup orientation="landscape" horizontalDpi="300" verticalDpi="300"/>
  <headerFooter>
    <oddFooter>&amp;L&amp;"Tahoma,Regular"&amp;8 02ae-BM/PM/HDCV/FSOFT v1/0</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Cover</vt:lpstr>
      <vt:lpstr>Xác thực &amp; phân quyền</vt:lpstr>
      <vt:lpstr>Người dùng &amp; phòng ban</vt:lpstr>
      <vt:lpstr>Quản lý khoá học</vt:lpstr>
      <vt:lpstr>Ghi danh &amp; tiến độ học</vt:lpstr>
      <vt:lpstr>Bài kiểm tra &amp; làm bài</vt:lpstr>
      <vt:lpstr>Chứng chỉ</vt:lpstr>
      <vt:lpstr>Diễn đàn khoá học</vt:lpstr>
      <vt:lpstr>Trợ lý ảo &amp; hàng đợi trainer</vt:lpstr>
      <vt:lpstr>Thông báo &amp; điểm thưởng</vt:lpstr>
      <vt:lpstr>Trang quản trị</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Test Case</dc:subject>
  <dc:creator>Vadim V. Bobrenok</dc:creator>
  <dc:description>v1.2</dc:description>
  <cp:lastModifiedBy>Thái Hùng</cp:lastModifiedBy>
  <cp:revision>0</cp:revision>
  <cp:lastPrinted>2006-08-02T10:15:15Z</cp:lastPrinted>
  <dcterms:created xsi:type="dcterms:W3CDTF">2002-07-27T17:17:25Z</dcterms:created>
  <dcterms:modified xsi:type="dcterms:W3CDTF">2026-08-28T15:41:45Z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ies>
</file>